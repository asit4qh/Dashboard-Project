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e87cea4fb6d2df7a/Desktop/"/>
    </mc:Choice>
  </mc:AlternateContent>
  <xr:revisionPtr revIDLastSave="11" documentId="8_{5A74A468-90B8-4395-93F1-215EDCB26C6A}" xr6:coauthVersionLast="47" xr6:coauthVersionMax="47" xr10:uidLastSave="{F8715156-38AE-4F5F-828A-C85476F31425}"/>
  <bookViews>
    <workbookView xWindow="-108" yWindow="-108" windowWidth="23256" windowHeight="12456" xr2:uid="{55256990-A5FC-4409-9645-4645BEEACCAC}"/>
  </bookViews>
  <sheets>
    <sheet name="DASHBOARD" sheetId="4" r:id="rId1"/>
    <sheet name="RAW DATA" sheetId="3" r:id="rId2"/>
  </sheets>
  <definedNames>
    <definedName name="Slicer_Department">#N/A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3" l="1"/>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2" i="3"/>
</calcChain>
</file>

<file path=xl/sharedStrings.xml><?xml version="1.0" encoding="utf-8"?>
<sst xmlns="http://schemas.openxmlformats.org/spreadsheetml/2006/main" count="437" uniqueCount="300">
  <si>
    <t>Quantity</t>
  </si>
  <si>
    <t>Clothing</t>
  </si>
  <si>
    <t>Electronics</t>
  </si>
  <si>
    <t>Grocery</t>
  </si>
  <si>
    <t>Furniture</t>
  </si>
  <si>
    <t>Employee ID</t>
  </si>
  <si>
    <t>Employee Name</t>
  </si>
  <si>
    <t>Department</t>
  </si>
  <si>
    <t>Product Sold</t>
  </si>
  <si>
    <t>Total Sales (₹)</t>
  </si>
  <si>
    <t>E001</t>
  </si>
  <si>
    <t>Rohan Sharma</t>
  </si>
  <si>
    <t>Laptop</t>
  </si>
  <si>
    <t>E002</t>
  </si>
  <si>
    <t>Priya Verma</t>
  </si>
  <si>
    <t>Dress</t>
  </si>
  <si>
    <t>E003</t>
  </si>
  <si>
    <t>Amit Patel</t>
  </si>
  <si>
    <t>Table</t>
  </si>
  <si>
    <t>E004</t>
  </si>
  <si>
    <t>Neha Gupta</t>
  </si>
  <si>
    <t>Smartphone</t>
  </si>
  <si>
    <t>E005</t>
  </si>
  <si>
    <t>Karan Yadav</t>
  </si>
  <si>
    <t>Rice Bag</t>
  </si>
  <si>
    <t>E006</t>
  </si>
  <si>
    <t>Sneha Roy</t>
  </si>
  <si>
    <t>Jeans</t>
  </si>
  <si>
    <t>E007</t>
  </si>
  <si>
    <t>Deepak Singh</t>
  </si>
  <si>
    <t>Chair</t>
  </si>
  <si>
    <t>E008</t>
  </si>
  <si>
    <t>Meera Joshi</t>
  </si>
  <si>
    <t>Cooking Oil</t>
  </si>
  <si>
    <t>E009</t>
  </si>
  <si>
    <t>Arjun Nair</t>
  </si>
  <si>
    <t>Earphones</t>
  </si>
  <si>
    <t>E010</t>
  </si>
  <si>
    <t>Pooja Desai</t>
  </si>
  <si>
    <t>Jacket</t>
  </si>
  <si>
    <t>E011</t>
  </si>
  <si>
    <t>Saurabh Das</t>
  </si>
  <si>
    <t>Sugar Pack</t>
  </si>
  <si>
    <t>E012</t>
  </si>
  <si>
    <t>Anjali Mehta</t>
  </si>
  <si>
    <t>Sofa Set</t>
  </si>
  <si>
    <t>E013</t>
  </si>
  <si>
    <t>Vikram Rao</t>
  </si>
  <si>
    <t>Smartwatch</t>
  </si>
  <si>
    <t>E014</t>
  </si>
  <si>
    <t>Ritu Chawla</t>
  </si>
  <si>
    <t>T-Shirt</t>
  </si>
  <si>
    <t>E015</t>
  </si>
  <si>
    <t>Mohit Bansal</t>
  </si>
  <si>
    <t>Tea Pack</t>
  </si>
  <si>
    <t>E016</t>
  </si>
  <si>
    <t>Gaurav Singh</t>
  </si>
  <si>
    <t>Monitor</t>
  </si>
  <si>
    <t>E017</t>
  </si>
  <si>
    <t>Divya Jain</t>
  </si>
  <si>
    <t>Saree</t>
  </si>
  <si>
    <t>E018</t>
  </si>
  <si>
    <t>Sanjay Mehta</t>
  </si>
  <si>
    <t>Bed</t>
  </si>
  <si>
    <t>E019</t>
  </si>
  <si>
    <t>Tanya Kapoor</t>
  </si>
  <si>
    <t>Wheat Bag</t>
  </si>
  <si>
    <t>E020</t>
  </si>
  <si>
    <t>Nikhil Sinha</t>
  </si>
  <si>
    <t>Tablet</t>
  </si>
  <si>
    <t>E021</t>
  </si>
  <si>
    <t>Aarav Malhotra</t>
  </si>
  <si>
    <t>Skirt</t>
  </si>
  <si>
    <t>E022</t>
  </si>
  <si>
    <t>Shruti Sharma</t>
  </si>
  <si>
    <t>Dining Set</t>
  </si>
  <si>
    <t>E023</t>
  </si>
  <si>
    <t>Rajesh Tiwari</t>
  </si>
  <si>
    <t>Pulses Pack</t>
  </si>
  <si>
    <t>E024</t>
  </si>
  <si>
    <t>Neeraj Kumar</t>
  </si>
  <si>
    <t>Keyboard</t>
  </si>
  <si>
    <t>E025</t>
  </si>
  <si>
    <t>Sonali Ghosh</t>
  </si>
  <si>
    <t>Blazer</t>
  </si>
  <si>
    <t>E026</t>
  </si>
  <si>
    <t>Harshit Rana</t>
  </si>
  <si>
    <t>Stool</t>
  </si>
  <si>
    <t>E027</t>
  </si>
  <si>
    <t>Kritika Joshi</t>
  </si>
  <si>
    <t>Flour Pack</t>
  </si>
  <si>
    <t>E028</t>
  </si>
  <si>
    <t>Abhishek Roy</t>
  </si>
  <si>
    <t>Mouse</t>
  </si>
  <si>
    <t>E029</t>
  </si>
  <si>
    <t>Aditi Sharma</t>
  </si>
  <si>
    <t>Top</t>
  </si>
  <si>
    <t>E030</t>
  </si>
  <si>
    <t>Rohit Chauhan</t>
  </si>
  <si>
    <t>Cupboard</t>
  </si>
  <si>
    <t>E031</t>
  </si>
  <si>
    <t>Ananya Das</t>
  </si>
  <si>
    <t>Biscuit Pack</t>
  </si>
  <si>
    <t>E032</t>
  </si>
  <si>
    <t>Manish Pandey</t>
  </si>
  <si>
    <t>Power Bank</t>
  </si>
  <si>
    <t>E033</t>
  </si>
  <si>
    <t>Preeti Kaur</t>
  </si>
  <si>
    <t>Sweater</t>
  </si>
  <si>
    <t>E034</t>
  </si>
  <si>
    <t>Aditya Verma</t>
  </si>
  <si>
    <t>Coffee Table</t>
  </si>
  <si>
    <t>E035</t>
  </si>
  <si>
    <t>Snehal Patil</t>
  </si>
  <si>
    <t>Salt Pack</t>
  </si>
  <si>
    <t>E036</t>
  </si>
  <si>
    <t>Mayank Jain</t>
  </si>
  <si>
    <t>Television</t>
  </si>
  <si>
    <t>E037</t>
  </si>
  <si>
    <t>Nisha Reddy</t>
  </si>
  <si>
    <t>Kurti</t>
  </si>
  <si>
    <t>E038</t>
  </si>
  <si>
    <t>Rakesh Bhatia</t>
  </si>
  <si>
    <t>Shoe Rack</t>
  </si>
  <si>
    <t>E039</t>
  </si>
  <si>
    <t>Shweta Kapoor</t>
  </si>
  <si>
    <t>Snacks Pack</t>
  </si>
  <si>
    <t>E040</t>
  </si>
  <si>
    <t>Deepanshu Rawat</t>
  </si>
  <si>
    <t>Camera</t>
  </si>
  <si>
    <t>E041</t>
  </si>
  <si>
    <t>Sakshi Nair</t>
  </si>
  <si>
    <t>Shorts</t>
  </si>
  <si>
    <t>E042</t>
  </si>
  <si>
    <t>Rahul Goyal</t>
  </si>
  <si>
    <t>Bookshelf</t>
  </si>
  <si>
    <t>E043</t>
  </si>
  <si>
    <t>Anamika Sen</t>
  </si>
  <si>
    <t>Spices Pack</t>
  </si>
  <si>
    <t>E044</t>
  </si>
  <si>
    <t>Vikas Jha</t>
  </si>
  <si>
    <t>Bluetooth Speaker</t>
  </si>
  <si>
    <t>E045</t>
  </si>
  <si>
    <t>Meenakshi Iyer</t>
  </si>
  <si>
    <t>Gown</t>
  </si>
  <si>
    <t>E046</t>
  </si>
  <si>
    <t>Sandeep Rao</t>
  </si>
  <si>
    <t>Wardrobe</t>
  </si>
  <si>
    <t>E047</t>
  </si>
  <si>
    <t>Isha Malhotra</t>
  </si>
  <si>
    <t>Dry Fruits</t>
  </si>
  <si>
    <t>E048</t>
  </si>
  <si>
    <t>Chirag Thakur</t>
  </si>
  <si>
    <t>Router</t>
  </si>
  <si>
    <t>E049</t>
  </si>
  <si>
    <t>Ayesha Sheikh</t>
  </si>
  <si>
    <t>Scarf</t>
  </si>
  <si>
    <t>E050</t>
  </si>
  <si>
    <t>Harsh Vardhan</t>
  </si>
  <si>
    <t>Recliner</t>
  </si>
  <si>
    <t>E051</t>
  </si>
  <si>
    <t>Rani Soni</t>
  </si>
  <si>
    <t>Coffee Pack</t>
  </si>
  <si>
    <t>E052</t>
  </si>
  <si>
    <t>Akash Jain</t>
  </si>
  <si>
    <t>CPU</t>
  </si>
  <si>
    <t>E053</t>
  </si>
  <si>
    <t>Poonam Das</t>
  </si>
  <si>
    <t>E054</t>
  </si>
  <si>
    <t>Manav Sharma</t>
  </si>
  <si>
    <t>Drawer</t>
  </si>
  <si>
    <t>E055</t>
  </si>
  <si>
    <t>Kavita Rani</t>
  </si>
  <si>
    <t>Noodles</t>
  </si>
  <si>
    <t>E056</t>
  </si>
  <si>
    <t>Mohan Joshi</t>
  </si>
  <si>
    <t>Projector</t>
  </si>
  <si>
    <t>E057</t>
  </si>
  <si>
    <t>Rupal Mehta</t>
  </si>
  <si>
    <t>Shirt</t>
  </si>
  <si>
    <t>E058</t>
  </si>
  <si>
    <t>Arvind Nair</t>
  </si>
  <si>
    <t>Lamp</t>
  </si>
  <si>
    <t>E059</t>
  </si>
  <si>
    <t>Neha Sinha</t>
  </si>
  <si>
    <t>Oats Pack</t>
  </si>
  <si>
    <t>E060</t>
  </si>
  <si>
    <t>Tushar Gupta</t>
  </si>
  <si>
    <t>Hard Disk</t>
  </si>
  <si>
    <t>E061</t>
  </si>
  <si>
    <t>Kavya Rao</t>
  </si>
  <si>
    <t>Hoodie</t>
  </si>
  <si>
    <t>E062</t>
  </si>
  <si>
    <t>Ramesh Patel</t>
  </si>
  <si>
    <t>Mirror</t>
  </si>
  <si>
    <t>E063</t>
  </si>
  <si>
    <t>Shraddha Sharma</t>
  </si>
  <si>
    <t>Bread Pack</t>
  </si>
  <si>
    <t>E064</t>
  </si>
  <si>
    <t>Saurav Mishra</t>
  </si>
  <si>
    <t>Drone</t>
  </si>
  <si>
    <t>E065</t>
  </si>
  <si>
    <t>Payal Mehta</t>
  </si>
  <si>
    <t>Suit</t>
  </si>
  <si>
    <t>E066</t>
  </si>
  <si>
    <t>Jatin Ahuja</t>
  </si>
  <si>
    <t>Mattress</t>
  </si>
  <si>
    <t>E067</t>
  </si>
  <si>
    <t>Aisha Khan</t>
  </si>
  <si>
    <t>Detergent</t>
  </si>
  <si>
    <t>E068</t>
  </si>
  <si>
    <t>Harleen Kaur</t>
  </si>
  <si>
    <t>Washing Machine</t>
  </si>
  <si>
    <t>E069</t>
  </si>
  <si>
    <t>Dev Raj</t>
  </si>
  <si>
    <t>Cap</t>
  </si>
  <si>
    <t>E070</t>
  </si>
  <si>
    <t>Tina Paul</t>
  </si>
  <si>
    <t>TV Stand</t>
  </si>
  <si>
    <t>E071</t>
  </si>
  <si>
    <t>Vivek Rana</t>
  </si>
  <si>
    <t>Ice Cream</t>
  </si>
  <si>
    <t>E072</t>
  </si>
  <si>
    <t>Kriti Sen</t>
  </si>
  <si>
    <t>Hair Dryer</t>
  </si>
  <si>
    <t>E073</t>
  </si>
  <si>
    <t>Ravi Bansal</t>
  </si>
  <si>
    <t>Trousers</t>
  </si>
  <si>
    <t>E074</t>
  </si>
  <si>
    <t>Shreya Agarwal</t>
  </si>
  <si>
    <t>Drawer Set</t>
  </si>
  <si>
    <t>E075</t>
  </si>
  <si>
    <t>Kunal Kapoor</t>
  </si>
  <si>
    <t>Juice Pack</t>
  </si>
  <si>
    <t>E076</t>
  </si>
  <si>
    <t>Rachit Jain</t>
  </si>
  <si>
    <t>Fridge</t>
  </si>
  <si>
    <t>E077</t>
  </si>
  <si>
    <t>Nidhi Patel</t>
  </si>
  <si>
    <t>E078</t>
  </si>
  <si>
    <t>Varun Mehta</t>
  </si>
  <si>
    <t>E079</t>
  </si>
  <si>
    <t>Anjali Gupta</t>
  </si>
  <si>
    <t>Wheat Flour</t>
  </si>
  <si>
    <t>E080</t>
  </si>
  <si>
    <t>Sidharth Rao</t>
  </si>
  <si>
    <t>Mobile</t>
  </si>
  <si>
    <t>E081</t>
  </si>
  <si>
    <t>Bhavna Soni</t>
  </si>
  <si>
    <t>E082</t>
  </si>
  <si>
    <t>Akhil Sharma</t>
  </si>
  <si>
    <t>E083</t>
  </si>
  <si>
    <t>Nivedita Paul</t>
  </si>
  <si>
    <t>Juice Box</t>
  </si>
  <si>
    <t>E084</t>
  </si>
  <si>
    <t>Rohit Nair</t>
  </si>
  <si>
    <t>E085</t>
  </si>
  <si>
    <t>Jyoti Agarwal</t>
  </si>
  <si>
    <t>E086</t>
  </si>
  <si>
    <t>Manan Singh</t>
  </si>
  <si>
    <t>E087</t>
  </si>
  <si>
    <t>Shikha Roy</t>
  </si>
  <si>
    <t>Snacks</t>
  </si>
  <si>
    <t>E088</t>
  </si>
  <si>
    <t>Gagan Yadav</t>
  </si>
  <si>
    <t>Speaker</t>
  </si>
  <si>
    <t>E089</t>
  </si>
  <si>
    <t>Ruchi Sharma</t>
  </si>
  <si>
    <t>E090</t>
  </si>
  <si>
    <t>Abhay Verma</t>
  </si>
  <si>
    <t>E091</t>
  </si>
  <si>
    <t>Charu Sinha</t>
  </si>
  <si>
    <t>Salt</t>
  </si>
  <si>
    <t>E092</t>
  </si>
  <si>
    <t>Adarsh Patel</t>
  </si>
  <si>
    <t>E093</t>
  </si>
  <si>
    <t>Jyotsna Mehta</t>
  </si>
  <si>
    <t>E094</t>
  </si>
  <si>
    <t>Naveen Kumar</t>
  </si>
  <si>
    <t>Sofa</t>
  </si>
  <si>
    <t>E095</t>
  </si>
  <si>
    <t>Priti Nair</t>
  </si>
  <si>
    <t>Coffee</t>
  </si>
  <si>
    <t>E096</t>
  </si>
  <si>
    <t>Parth Singh</t>
  </si>
  <si>
    <t>E097</t>
  </si>
  <si>
    <t>Diya Reddy</t>
  </si>
  <si>
    <t>E098</t>
  </si>
  <si>
    <t>Abhinav Joshi</t>
  </si>
  <si>
    <t>E099</t>
  </si>
  <si>
    <t>Tanu Gupta</t>
  </si>
  <si>
    <t>E100</t>
  </si>
  <si>
    <t>Yash Malhotra</t>
  </si>
  <si>
    <t>Target</t>
  </si>
  <si>
    <t>Target Hit %</t>
  </si>
  <si>
    <t>Sales Executive</t>
  </si>
  <si>
    <t>Total Sale</t>
  </si>
  <si>
    <t>Away From Target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</si>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</sst>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b/>
      <sz val="12"/>
      <color theme="1"/>
      <name val="Calibri"/>
      <family val="2"/>
      <scheme val="minor"/>
    </font>
    <font>
      <sz val="8"/>
      <color rgb="FF000000"/>
      <name val="Segoe UI"/>
      <family val="2"/>
    </font>
  </fonts>
  <fills count="4">
    <fill>
      <patternFill patternType="none"/>
    </fill>
    <fill>
      <patternFill patternType="gray125"/>
    </fill>
    <fill>
      <patternFill patternType="solid">
        <fgColor theme="0" tint="-4.9989318521683403E-2"/>
        <bgColor indexed="64"/>
      </patternFill>
    </fill>
    <fill>
      <patternFill patternType="solid">
        <fgColor theme="7"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0" fillId="0" borderId="1" xfId="0" applyBorder="1"/>
    <xf numFmtId="0" fontId="0" fillId="2" borderId="0" xfId="0" applyFill="1"/>
    <xf numFmtId="0" fontId="0" fillId="0" borderId="1" xfId="0" pivotButton="1" applyBorder="1"/>
    <xf numFmtId="0" fontId="0" fillId="0" borderId="1" xfId="0" applyBorder="1" applyAlignment="1">
      <alignment horizontal="left"/>
    </xf>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2" fillId="3" borderId="1" xfId="0" applyFont="1" applyFill="1" applyBorder="1"/>
    <xf numFmtId="10" fontId="0" fillId="0" borderId="1" xfId="1" applyNumberFormat="1" applyFont="1" applyBorder="1"/>
    <xf numFmtId="0" fontId="0" fillId="0" borderId="5" xfId="0" applyBorder="1" applyAlignment="1">
      <alignment horizontal="left"/>
    </xf>
    <xf numFmtId="0" fontId="0" fillId="0" borderId="7" xfId="0" applyBorder="1" applyAlignment="1">
      <alignment horizontal="left"/>
    </xf>
    <xf numFmtId="10" fontId="0" fillId="0" borderId="10" xfId="0" applyNumberFormat="1" applyBorder="1"/>
    <xf numFmtId="10" fontId="0" fillId="0" borderId="11" xfId="0" applyNumberFormat="1" applyBorder="1"/>
    <xf numFmtId="10" fontId="0" fillId="0" borderId="12" xfId="0" applyNumberFormat="1" applyBorder="1"/>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0" xfId="0" applyNumberFormat="1" applyBorder="1"/>
    <xf numFmtId="0" fontId="0" fillId="0" borderId="11" xfId="0" applyNumberFormat="1" applyBorder="1"/>
    <xf numFmtId="0" fontId="0" fillId="0" borderId="12" xfId="0" applyNumberFormat="1" applyBorder="1"/>
  </cellXfs>
  <cellStyles count="2">
    <cellStyle name="Normal" xfId="0" builtinId="0"/>
    <cellStyle name="Percent" xfId="1" builtinId="5"/>
  </cellStyles>
  <dxfs count="61">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5" tint="-0.499984740745262"/>
        </patternFill>
      </fill>
    </dxf>
  </dxfs>
  <tableStyles count="1" defaultTableStyle="TableStyleMedium2" defaultPivotStyle="PivotStyleLight16">
    <tableStyle name="Slicer Style 1" pivot="0" table="0" count="5" xr9:uid="{7B89FD29-4DA2-443C-94D4-A420961F6499}">
      <tableStyleElement type="wholeTable" dxfId="60"/>
    </tableStyle>
  </tableStyles>
  <extLst>
    <ext xmlns:x14="http://schemas.microsoft.com/office/spreadsheetml/2009/9/main" uri="{46F421CA-312F-682f-3DD2-61675219B42D}">
      <x14:dxfs count="4">
        <dxf>
          <fill>
            <patternFill>
              <bgColor theme="5" tint="0.39994506668294322"/>
            </patternFill>
          </fill>
        </dxf>
        <dxf>
          <fill>
            <patternFill>
              <bgColor theme="7" tint="0.59996337778862885"/>
            </patternFill>
          </fill>
        </dxf>
        <dxf>
          <fill>
            <patternFill>
              <bgColor theme="5"/>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.xlsm]DASHBOARD!PivotTable2</c:name>
    <c:fmtId val="0"/>
  </c:pivotSource>
  <c:chart>
    <c:autoTitleDeleted val="1"/>
    <c:pivotFmts>
      <c:pivotFmt>
        <c:idx val="0"/>
        <c:spPr>
          <a:solidFill>
            <a:schemeClr val="accent2"/>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99575243934203"/>
          <c:y val="7.0052539404553416E-2"/>
          <c:w val="0.82001431973878436"/>
          <c:h val="0.90596039131472217"/>
        </c:manualLayout>
      </c:layout>
      <c:barChart>
        <c:barDir val="bar"/>
        <c:grouping val="clustered"/>
        <c:varyColors val="0"/>
        <c:ser>
          <c:idx val="0"/>
          <c:order val="0"/>
          <c:tx>
            <c:strRef>
              <c:f>DASHBOARD!$B$3</c:f>
              <c:strCache>
                <c:ptCount val="1"/>
                <c:pt idx="0">
                  <c:v>Total</c:v>
                </c:pt>
              </c:strCache>
            </c:strRef>
          </c:tx>
          <c:spPr>
            <a:solidFill>
              <a:schemeClr val="accent2"/>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Saurav Mishra</c:v>
                </c:pt>
                <c:pt idx="1">
                  <c:v>Rachit Jain</c:v>
                </c:pt>
                <c:pt idx="2">
                  <c:v>Mayank Jain</c:v>
                </c:pt>
                <c:pt idx="3">
                  <c:v>Manish Pandey</c:v>
                </c:pt>
                <c:pt idx="4">
                  <c:v>Mohan Joshi</c:v>
                </c:pt>
              </c:strCache>
            </c:strRef>
          </c:cat>
          <c:val>
            <c:numRef>
              <c:f>DASHBOARD!$B$4:$B$8</c:f>
              <c:numCache>
                <c:formatCode>General</c:formatCode>
                <c:ptCount val="5"/>
                <c:pt idx="0">
                  <c:v>417</c:v>
                </c:pt>
                <c:pt idx="1">
                  <c:v>409</c:v>
                </c:pt>
                <c:pt idx="2">
                  <c:v>399</c:v>
                </c:pt>
                <c:pt idx="3">
                  <c:v>398</c:v>
                </c:pt>
                <c:pt idx="4">
                  <c:v>396</c:v>
                </c:pt>
              </c:numCache>
            </c:numRef>
          </c:val>
          <c:extLst>
            <c:ext xmlns:c16="http://schemas.microsoft.com/office/drawing/2014/chart" uri="{C3380CC4-5D6E-409C-BE32-E72D297353CC}">
              <c16:uniqueId val="{00000000-3956-4904-9F68-1880CAE489A7}"/>
            </c:ext>
          </c:extLst>
        </c:ser>
        <c:dLbls>
          <c:showLegendKey val="0"/>
          <c:showVal val="0"/>
          <c:showCatName val="0"/>
          <c:showSerName val="0"/>
          <c:showPercent val="0"/>
          <c:showBubbleSize val="0"/>
        </c:dLbls>
        <c:gapWidth val="182"/>
        <c:axId val="960768176"/>
        <c:axId val="960773168"/>
      </c:barChart>
      <c:catAx>
        <c:axId val="9607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773168"/>
        <c:crosses val="autoZero"/>
        <c:auto val="1"/>
        <c:lblAlgn val="ctr"/>
        <c:lblOffset val="100"/>
        <c:noMultiLvlLbl val="0"/>
      </c:catAx>
      <c:valAx>
        <c:axId val="960773168"/>
        <c:scaling>
          <c:orientation val="minMax"/>
        </c:scaling>
        <c:delete val="1"/>
        <c:axPos val="b"/>
        <c:numFmt formatCode="General" sourceLinked="1"/>
        <c:majorTickMark val="none"/>
        <c:minorTickMark val="none"/>
        <c:tickLblPos val="nextTo"/>
        <c:crossAx val="9607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.xlsm]DASHBOARD!PivotTable4</c:name>
    <c:fmtId val="0"/>
  </c:pivotSource>
  <c:chart>
    <c:autoTitleDeleted val="1"/>
    <c:pivotFmts>
      <c:pivotFmt>
        <c:idx val="0"/>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c:spPr>
      </c:pivotFmt>
      <c:pivotFmt>
        <c:idx val="2"/>
        <c:spPr>
          <a:solidFill>
            <a:schemeClr val="accent2"/>
          </a:solidFill>
          <a:ln>
            <a:noFill/>
          </a:ln>
          <a:effectLst>
            <a:outerShdw blurRad="254000" sx="102000" sy="102000" algn="ctr" rotWithShape="0">
              <a:prstClr val="black">
                <a:alpha val="20000"/>
              </a:prstClr>
            </a:outerShdw>
          </a:effectLst>
        </c:spPr>
      </c:pivotFmt>
      <c:pivotFmt>
        <c:idx val="3"/>
        <c:spPr>
          <a:solidFill>
            <a:schemeClr val="accent2"/>
          </a:solidFill>
          <a:ln>
            <a:noFill/>
          </a:ln>
          <a:effectLst>
            <a:outerShdw blurRad="254000" sx="102000" sy="102000" algn="ctr" rotWithShape="0">
              <a:prstClr val="black">
                <a:alpha val="20000"/>
              </a:prstClr>
            </a:outerShdw>
          </a:effectLst>
        </c:spPr>
      </c:pivotFmt>
      <c:pivotFmt>
        <c:idx val="4"/>
        <c:spPr>
          <a:solidFill>
            <a:schemeClr val="accent2"/>
          </a:solidFill>
          <a:ln>
            <a:noFill/>
          </a:ln>
          <a:effectLst>
            <a:outerShdw blurRad="254000" sx="102000" sy="102000" algn="ctr" rotWithShape="0">
              <a:prstClr val="black">
                <a:alpha val="20000"/>
              </a:prstClr>
            </a:outerShdw>
          </a:effectLst>
        </c:spPr>
      </c:pivotFmt>
      <c:pivotFmt>
        <c:idx val="5"/>
        <c:spPr>
          <a:solidFill>
            <a:schemeClr val="accent2"/>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FE0-4E4C-B23B-6027B3148990}"/>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FE0-4E4C-B23B-6027B3148990}"/>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FE0-4E4C-B23B-6027B3148990}"/>
              </c:ext>
            </c:extLst>
          </c:dPt>
          <c:dPt>
            <c:idx val="3"/>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FE0-4E4C-B23B-6027B3148990}"/>
              </c:ext>
            </c:extLst>
          </c:dPt>
          <c:dPt>
            <c:idx val="4"/>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FE0-4E4C-B23B-6027B314899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Saurav Mishra</c:v>
                </c:pt>
                <c:pt idx="1">
                  <c:v>Rachit Jain</c:v>
                </c:pt>
                <c:pt idx="2">
                  <c:v>Mayank Jain</c:v>
                </c:pt>
                <c:pt idx="3">
                  <c:v>Manish Pandey</c:v>
                </c:pt>
                <c:pt idx="4">
                  <c:v>Mohan Joshi</c:v>
                </c:pt>
              </c:strCache>
            </c:strRef>
          </c:cat>
          <c:val>
            <c:numRef>
              <c:f>DASHBOARD!$H$4:$H$8</c:f>
              <c:numCache>
                <c:formatCode>0.00%</c:formatCode>
                <c:ptCount val="5"/>
                <c:pt idx="0">
                  <c:v>0.83400000000000007</c:v>
                </c:pt>
                <c:pt idx="1">
                  <c:v>0.81799999999999995</c:v>
                </c:pt>
                <c:pt idx="2">
                  <c:v>0.79799999999999993</c:v>
                </c:pt>
                <c:pt idx="3">
                  <c:v>0.79599999999999993</c:v>
                </c:pt>
                <c:pt idx="4">
                  <c:v>0.79200000000000004</c:v>
                </c:pt>
              </c:numCache>
            </c:numRef>
          </c:val>
          <c:extLst>
            <c:ext xmlns:c16="http://schemas.microsoft.com/office/drawing/2014/chart" uri="{C3380CC4-5D6E-409C-BE32-E72D297353CC}">
              <c16:uniqueId val="{00000000-CFAD-43DE-96F1-0AB55813D8E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.xlsm]DASHBOARD!PivotTable5</c:name>
    <c:fmtId val="0"/>
  </c:pivotSource>
  <c:chart>
    <c:autoTitleDeleted val="1"/>
    <c:pivotFmts>
      <c:pivotFmt>
        <c:idx val="0"/>
        <c:spPr>
          <a:ln w="28575" cap="rnd">
            <a:solidFill>
              <a:schemeClr val="accent2"/>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layout>
            <c:manualLayout>
              <c:x val="0"/>
              <c:y val="6.018518518518514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layout>
            <c:manualLayout>
              <c:x val="-1.0185067526415994E-16"/>
              <c:y val="5.0925925925925923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2.7777777777777779E-3"/>
              <c:y val="2.3148148148148064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none"/>
        </c:marker>
        <c:dLbl>
          <c:idx val="0"/>
          <c:layout>
            <c:manualLayout>
              <c:x val="-3.3333333333333333E-2"/>
              <c:y val="-9.2592592592592671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320398639387836E-3"/>
          <c:y val="4.8694690365776805E-3"/>
          <c:w val="0.9916666666666667"/>
          <c:h val="0.71513968784989956"/>
        </c:manualLayout>
      </c:layout>
      <c:lineChart>
        <c:grouping val="standard"/>
        <c:varyColors val="0"/>
        <c:ser>
          <c:idx val="0"/>
          <c:order val="0"/>
          <c:tx>
            <c:strRef>
              <c:f>DASHBOARD!$K$3</c:f>
              <c:strCache>
                <c:ptCount val="1"/>
                <c:pt idx="0">
                  <c:v>Total</c:v>
                </c:pt>
              </c:strCache>
            </c:strRef>
          </c:tx>
          <c:spPr>
            <a:ln w="28575" cap="rnd">
              <a:solidFill>
                <a:schemeClr val="accent2"/>
              </a:solidFill>
              <a:round/>
            </a:ln>
            <a:effectLst/>
          </c:spPr>
          <c:marker>
            <c:symbol val="none"/>
          </c:marker>
          <c:dLbls>
            <c:dLbl>
              <c:idx val="2"/>
              <c:layout>
                <c:manualLayout>
                  <c:x val="-3.3333333333333333E-2"/>
                  <c:y val="-9.2592592592592671E-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0"/>
                  <c:y val="6.018518518518514E-2"/>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1.0185067526415994E-16"/>
                  <c:y val="5.0925925925925923E-2"/>
                </c:manualLayout>
              </c:layout>
              <c:showLegendKey val="0"/>
              <c:showVal val="1"/>
              <c:showCatName val="0"/>
              <c:showSerName val="0"/>
              <c:showPercent val="0"/>
              <c:showBubbleSize val="0"/>
              <c:extLst>
                <c:ext xmlns:c15="http://schemas.microsoft.com/office/drawing/2012/chart" uri="{CE6537A1-D6FC-4f65-9D91-7224C49458BB}"/>
              </c:extLst>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Adarsh Patel</c:v>
                </c:pt>
                <c:pt idx="1">
                  <c:v>Chirag Thakur</c:v>
                </c:pt>
                <c:pt idx="2">
                  <c:v>Vikas Jha</c:v>
                </c:pt>
                <c:pt idx="3">
                  <c:v>Neeraj Kumar</c:v>
                </c:pt>
                <c:pt idx="4">
                  <c:v>Arjun Nair</c:v>
                </c:pt>
              </c:strCache>
            </c:strRef>
          </c:cat>
          <c:val>
            <c:numRef>
              <c:f>DASHBOARD!$K$4:$K$8</c:f>
              <c:numCache>
                <c:formatCode>0.00%</c:formatCode>
                <c:ptCount val="5"/>
                <c:pt idx="0">
                  <c:v>0.35</c:v>
                </c:pt>
                <c:pt idx="1">
                  <c:v>0.38200000000000001</c:v>
                </c:pt>
                <c:pt idx="2">
                  <c:v>0.38600000000000001</c:v>
                </c:pt>
                <c:pt idx="3">
                  <c:v>0.39600000000000002</c:v>
                </c:pt>
                <c:pt idx="4">
                  <c:v>0.39600000000000002</c:v>
                </c:pt>
              </c:numCache>
            </c:numRef>
          </c:val>
          <c:smooth val="0"/>
          <c:extLst>
            <c:ext xmlns:c16="http://schemas.microsoft.com/office/drawing/2014/chart" uri="{C3380CC4-5D6E-409C-BE32-E72D297353CC}">
              <c16:uniqueId val="{00000000-F8BD-426D-8B04-9657C2110183}"/>
            </c:ext>
          </c:extLst>
        </c:ser>
        <c:dLbls>
          <c:showLegendKey val="0"/>
          <c:showVal val="0"/>
          <c:showCatName val="0"/>
          <c:showSerName val="0"/>
          <c:showPercent val="0"/>
          <c:showBubbleSize val="0"/>
        </c:dLbls>
        <c:smooth val="0"/>
        <c:axId val="1136218336"/>
        <c:axId val="1136224992"/>
      </c:lineChart>
      <c:catAx>
        <c:axId val="113621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224992"/>
        <c:crosses val="autoZero"/>
        <c:auto val="1"/>
        <c:lblAlgn val="ctr"/>
        <c:lblOffset val="100"/>
        <c:noMultiLvlLbl val="0"/>
      </c:catAx>
      <c:valAx>
        <c:axId val="1136224992"/>
        <c:scaling>
          <c:orientation val="minMax"/>
        </c:scaling>
        <c:delete val="1"/>
        <c:axPos val="l"/>
        <c:numFmt formatCode="0.00%" sourceLinked="1"/>
        <c:majorTickMark val="none"/>
        <c:minorTickMark val="none"/>
        <c:tickLblPos val="nextTo"/>
        <c:crossAx val="1136218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3810</xdr:rowOff>
    </xdr:from>
    <xdr:to>
      <xdr:col>4</xdr:col>
      <xdr:colOff>1143000</xdr:colOff>
      <xdr:row>20</xdr:row>
      <xdr:rowOff>22860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205740</xdr:colOff>
      <xdr:row>8</xdr:row>
      <xdr:rowOff>34290</xdr:rowOff>
    </xdr:from>
    <xdr:to>
      <xdr:col>8</xdr:col>
      <xdr:colOff>91440</xdr:colOff>
      <xdr:row>21</xdr:row>
      <xdr:rowOff>30480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30480</xdr:colOff>
      <xdr:row>9</xdr:row>
      <xdr:rowOff>19050</xdr:rowOff>
    </xdr:from>
    <xdr:to>
      <xdr:col>11</xdr:col>
      <xdr:colOff>152400</xdr:colOff>
      <xdr:row>21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121920</xdr:colOff>
      <xdr:row>0</xdr:row>
      <xdr:rowOff>83820</xdr:rowOff>
    </xdr:from>
    <xdr:to>
      <xdr:col>10</xdr:col>
      <xdr:colOff>1569720</xdr:colOff>
      <xdr:row>1</xdr:row>
      <xdr:rowOff>308520</xdr:rowOff>
    </xdr:to>
    <mc:AlternateContent xmlns:mc="http://schemas.openxmlformats.org/markup-compatibility/2006" xmlns:a14="http://schemas.microsoft.com/office/drawing/2010/main">
      <mc:Choice Requires="a14">
        <xdr:graphicFrame macro="">
          <xdr:nvGraphicFramePr>
            <xdr:cNvPr id="5" name="Departmen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1920" y="83820"/>
              <a:ext cx="1145286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388620</xdr:colOff>
      <xdr:row>1</xdr:row>
      <xdr:rowOff>427863</xdr:rowOff>
    </xdr:from>
    <xdr:to>
      <xdr:col>1</xdr:col>
      <xdr:colOff>60960</xdr:colOff>
      <xdr:row>1</xdr:row>
      <xdr:rowOff>737997</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388620" y="923163"/>
          <a:ext cx="1188720" cy="310134"/>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662940</xdr:colOff>
          <xdr:row>1</xdr:row>
          <xdr:rowOff>464820</xdr:rowOff>
        </xdr:from>
        <xdr:to>
          <xdr:col>0</xdr:col>
          <xdr:colOff>1463040</xdr:colOff>
          <xdr:row>1</xdr:row>
          <xdr:rowOff>685800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Table 1</a:t>
              </a:r>
            </a:p>
          </xdr:txBody>
        </xdr:sp>
        <xdr:clientData/>
      </xdr:twoCellAnchor>
    </mc:Choice>
    <mc:Fallback/>
  </mc:AlternateContent>
  <xdr:twoCellAnchor>
    <xdr:from>
      <xdr:col>3</xdr:col>
      <xdr:colOff>472440</xdr:colOff>
      <xdr:row>1</xdr:row>
      <xdr:rowOff>449580</xdr:rowOff>
    </xdr:from>
    <xdr:to>
      <xdr:col>4</xdr:col>
      <xdr:colOff>289560</xdr:colOff>
      <xdr:row>1</xdr:row>
      <xdr:rowOff>769620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329940" y="944880"/>
          <a:ext cx="1211580" cy="320040"/>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3</xdr:col>
          <xdr:colOff>754380</xdr:colOff>
          <xdr:row>1</xdr:row>
          <xdr:rowOff>480060</xdr:rowOff>
        </xdr:from>
        <xdr:to>
          <xdr:col>4</xdr:col>
          <xdr:colOff>160020</xdr:colOff>
          <xdr:row>1</xdr:row>
          <xdr:rowOff>701040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Table 2</a:t>
              </a:r>
            </a:p>
          </xdr:txBody>
        </xdr:sp>
        <xdr:clientData/>
      </xdr:twoCellAnchor>
    </mc:Choice>
    <mc:Fallback/>
  </mc:AlternateContent>
  <xdr:twoCellAnchor>
    <xdr:from>
      <xdr:col>6</xdr:col>
      <xdr:colOff>594360</xdr:colOff>
      <xdr:row>1</xdr:row>
      <xdr:rowOff>441960</xdr:rowOff>
    </xdr:from>
    <xdr:to>
      <xdr:col>7</xdr:col>
      <xdr:colOff>541020</xdr:colOff>
      <xdr:row>1</xdr:row>
      <xdr:rowOff>762000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6492240" y="937260"/>
          <a:ext cx="1226820" cy="320040"/>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6</xdr:col>
          <xdr:colOff>868680</xdr:colOff>
          <xdr:row>1</xdr:row>
          <xdr:rowOff>480060</xdr:rowOff>
        </xdr:from>
        <xdr:to>
          <xdr:col>7</xdr:col>
          <xdr:colOff>388620</xdr:colOff>
          <xdr:row>1</xdr:row>
          <xdr:rowOff>701040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Table 3</a:t>
              </a:r>
            </a:p>
          </xdr:txBody>
        </xdr:sp>
        <xdr:clientData/>
      </xdr:twoCellAnchor>
    </mc:Choice>
    <mc:Fallback/>
  </mc:AlternateContent>
  <xdr:twoCellAnchor>
    <xdr:from>
      <xdr:col>9</xdr:col>
      <xdr:colOff>822960</xdr:colOff>
      <xdr:row>1</xdr:row>
      <xdr:rowOff>419100</xdr:rowOff>
    </xdr:from>
    <xdr:to>
      <xdr:col>10</xdr:col>
      <xdr:colOff>807720</xdr:colOff>
      <xdr:row>1</xdr:row>
      <xdr:rowOff>777240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9540240" y="914400"/>
          <a:ext cx="1272540" cy="358140"/>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9</xdr:col>
          <xdr:colOff>1097280</xdr:colOff>
          <xdr:row>1</xdr:row>
          <xdr:rowOff>480060</xdr:rowOff>
        </xdr:from>
        <xdr:to>
          <xdr:col>10</xdr:col>
          <xdr:colOff>609600</xdr:colOff>
          <xdr:row>1</xdr:row>
          <xdr:rowOff>701040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Table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ha Asit Ankur Sarojkumar" refreshedDate="45968.579537384256" createdVersion="7" refreshedVersion="7" minRefreshableVersion="3" recordCount="100" xr:uid="{564B9193-5761-48B8-8AE6-2724A6EF9668}">
  <cacheSource type="worksheet">
    <worksheetSource ref="A1:I101" sheet="RAW DATA"/>
  </cacheSource>
  <cacheFields count="9">
    <cacheField name="Employee ID" numFmtId="0">
      <sharedItems/>
    </cacheField>
    <cacheField name="Employee Name" numFmtId="0">
      <sharedItems count="100">
        <s v="Rohan Sharma"/>
        <s v="Priya Verma"/>
        <s v="Amit Patel"/>
        <s v="Neha Gupta"/>
        <s v="Karan Yadav"/>
        <s v="Sneha Roy"/>
        <s v="Deepak Singh"/>
        <s v="Meera Joshi"/>
        <s v="Arjun Nair"/>
        <s v="Pooja Desai"/>
        <s v="Saurabh Das"/>
        <s v="Anjali Mehta"/>
        <s v="Vikram Rao"/>
        <s v="Ritu Chawla"/>
        <s v="Mohit Bansal"/>
        <s v="Gaurav Singh"/>
        <s v="Divya Jain"/>
        <s v="Sanjay Mehta"/>
        <s v="Tanya Kapoor"/>
        <s v="Nikhil Sinha"/>
        <s v="Aarav Malhotra"/>
        <s v="Shruti Sharma"/>
        <s v="Rajesh Tiwari"/>
        <s v="Neeraj Kumar"/>
        <s v="Sonali Ghosh"/>
        <s v="Harshit Rana"/>
        <s v="Kritika Joshi"/>
        <s v="Abhishek Roy"/>
        <s v="Aditi Sharma"/>
        <s v="Rohit Chauhan"/>
        <s v="Ananya Das"/>
        <s v="Manish Pandey"/>
        <s v="Preeti Kaur"/>
        <s v="Aditya Verma"/>
        <s v="Snehal Patil"/>
        <s v="Mayank Jain"/>
        <s v="Nisha Reddy"/>
        <s v="Rakesh Bhatia"/>
        <s v="Shweta Kapoor"/>
        <s v="Deepanshu Rawat"/>
        <s v="Sakshi Nair"/>
        <s v="Rahul Goyal"/>
        <s v="Anamika Sen"/>
        <s v="Vikas Jha"/>
        <s v="Meenakshi Iyer"/>
        <s v="Sandeep Rao"/>
        <s v="Isha Malhotra"/>
        <s v="Chirag Thakur"/>
        <s v="Ayesha Sheikh"/>
        <s v="Harsh Vardhan"/>
        <s v="Rani Soni"/>
        <s v="Akash Jain"/>
        <s v="Poonam Das"/>
        <s v="Manav Sharma"/>
        <s v="Kavita Rani"/>
        <s v="Mohan Joshi"/>
        <s v="Rupal Mehta"/>
        <s v="Arvind Nair"/>
        <s v="Neha Sinha"/>
        <s v="Tushar Gupta"/>
        <s v="Kavya Rao"/>
        <s v="Ramesh Patel"/>
        <s v="Shraddha Sharma"/>
        <s v="Saurav Mishra"/>
        <s v="Payal Mehta"/>
        <s v="Jatin Ahuja"/>
        <s v="Aisha Khan"/>
        <s v="Harleen Kaur"/>
        <s v="Dev Raj"/>
        <s v="Tina Paul"/>
        <s v="Vivek Rana"/>
        <s v="Kriti Sen"/>
        <s v="Ravi Bansal"/>
        <s v="Shreya Agarwal"/>
        <s v="Kunal Kapoor"/>
        <s v="Rachit Jain"/>
        <s v="Nidhi Patel"/>
        <s v="Varun Mehta"/>
        <s v="Anjali Gupta"/>
        <s v="Sidharth Rao"/>
        <s v="Bhavna Soni"/>
        <s v="Akhil Sharma"/>
        <s v="Nivedita Paul"/>
        <s v="Rohit Nair"/>
        <s v="Jyoti Agarwal"/>
        <s v="Manan Singh"/>
        <s v="Shikha Roy"/>
        <s v="Gagan Yadav"/>
        <s v="Ruchi Sharma"/>
        <s v="Abhay Verma"/>
        <s v="Charu Sinha"/>
        <s v="Adarsh Patel"/>
        <s v="Jyotsna Mehta"/>
        <s v="Naveen Kumar"/>
        <s v="Priti Nair"/>
        <s v="Parth Singh"/>
        <s v="Diya Reddy"/>
        <s v="Abhinav Joshi"/>
        <s v="Tanu Gupta"/>
        <s v="Yash Malhotra"/>
      </sharedItems>
    </cacheField>
    <cacheField name="Department" numFmtId="0">
      <sharedItems count="4">
        <s v="Electronics"/>
        <s v="Clothing"/>
        <s v="Furniture"/>
        <s v="Grocery"/>
      </sharedItems>
    </cacheField>
    <cacheField name="Product Sold" numFmtId="0">
      <sharedItems count="83">
        <s v="Laptop"/>
        <s v="Dress"/>
        <s v="Table"/>
        <s v="Smartphone"/>
        <s v="Rice Bag"/>
        <s v="Jeans"/>
        <s v="Chair"/>
        <s v="Cooking Oil"/>
        <s v="Earphones"/>
        <s v="Jacket"/>
        <s v="Sugar Pack"/>
        <s v="Sofa Set"/>
        <s v="Smartwatch"/>
        <s v="T-Shirt"/>
        <s v="Tea Pack"/>
        <s v="Monitor"/>
        <s v="Saree"/>
        <s v="Bed"/>
        <s v="Wheat Bag"/>
        <s v="Tablet"/>
        <s v="Skirt"/>
        <s v="Dining Set"/>
        <s v="Pulses Pack"/>
        <s v="Keyboard"/>
        <s v="Blazer"/>
        <s v="Stool"/>
        <s v="Flour Pack"/>
        <s v="Mouse"/>
        <s v="Top"/>
        <s v="Cupboard"/>
        <s v="Biscuit Pack"/>
        <s v="Power Bank"/>
        <s v="Sweater"/>
        <s v="Coffee Table"/>
        <s v="Salt Pack"/>
        <s v="Television"/>
        <s v="Kurti"/>
        <s v="Shoe Rack"/>
        <s v="Snacks Pack"/>
        <s v="Camera"/>
        <s v="Shorts"/>
        <s v="Bookshelf"/>
        <s v="Spices Pack"/>
        <s v="Bluetooth Speaker"/>
        <s v="Gown"/>
        <s v="Wardrobe"/>
        <s v="Dry Fruits"/>
        <s v="Router"/>
        <s v="Scarf"/>
        <s v="Recliner"/>
        <s v="Coffee Pack"/>
        <s v="CPU"/>
        <s v="Drawer"/>
        <s v="Noodles"/>
        <s v="Projector"/>
        <s v="Shirt"/>
        <s v="Lamp"/>
        <s v="Oats Pack"/>
        <s v="Hard Disk"/>
        <s v="Hoodie"/>
        <s v="Mirror"/>
        <s v="Bread Pack"/>
        <s v="Drone"/>
        <s v="Suit"/>
        <s v="Mattress"/>
        <s v="Detergent"/>
        <s v="Washing Machine"/>
        <s v="Cap"/>
        <s v="TV Stand"/>
        <s v="Ice Cream"/>
        <s v="Hair Dryer"/>
        <s v="Trousers"/>
        <s v="Drawer Set"/>
        <s v="Juice Pack"/>
        <s v="Fridge"/>
        <s v="Wheat Flour"/>
        <s v="Mobile"/>
        <s v="Juice Box"/>
        <s v="Snacks"/>
        <s v="Speaker"/>
        <s v="Salt"/>
        <s v="Sofa"/>
        <s v="Coffee"/>
      </sharedItems>
    </cacheField>
    <cacheField name="Quantity" numFmtId="0">
      <sharedItems containsSemiMixedTypes="0" containsString="0" containsNumber="1" containsInteger="1" minValue="300" maxValue="420"/>
    </cacheField>
    <cacheField name="Target" numFmtId="0">
      <sharedItems containsSemiMixedTypes="0" containsString="0" containsNumber="1" containsInteger="1" minValue="500" maxValue="500"/>
    </cacheField>
    <cacheField name="Total Sales (₹)" numFmtId="0">
      <sharedItems containsSemiMixedTypes="0" containsString="0" containsNumber="1" containsInteger="1" minValue="5000" maxValue="175000"/>
    </cacheField>
    <cacheField name="Target Hit %" numFmtId="10">
      <sharedItems containsSemiMixedTypes="0" containsString="0" containsNumber="1" minValue="0.6" maxValue="0.84"/>
    </cacheField>
    <cacheField name="Away From Target %" numFmtId="10">
      <sharedItems containsSemiMixedTypes="0" containsString="0" containsNumber="1" minValue="0.16000000000000003" maxValue="0.4"/>
    </cacheField>
  </cacheFields>
  <extLst>
    <ext xmlns:x14="http://schemas.microsoft.com/office/spreadsheetml/2009/9/main" uri="{725AE2AE-9491-48be-B2B4-4EB974FC3084}">
      <x14:pivotCacheDefinition pivotCacheId="14082028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001"/>
    <x v="0"/>
    <x v="0"/>
    <x v="0"/>
    <n v="370"/>
    <n v="500"/>
    <n v="155000"/>
    <n v="0.74"/>
    <n v="0.26"/>
  </r>
  <r>
    <s v="E002"/>
    <x v="1"/>
    <x v="1"/>
    <x v="1"/>
    <n v="312"/>
    <n v="500"/>
    <n v="24000"/>
    <n v="0.624"/>
    <n v="0.376"/>
  </r>
  <r>
    <s v="E003"/>
    <x v="2"/>
    <x v="2"/>
    <x v="2"/>
    <n v="347"/>
    <n v="500"/>
    <n v="28000"/>
    <n v="0.69400000000000006"/>
    <n v="0.30599999999999994"/>
  </r>
  <r>
    <s v="E004"/>
    <x v="3"/>
    <x v="0"/>
    <x v="3"/>
    <n v="347"/>
    <n v="500"/>
    <n v="175000"/>
    <n v="0.69400000000000006"/>
    <n v="0.30599999999999994"/>
  </r>
  <r>
    <s v="E005"/>
    <x v="4"/>
    <x v="3"/>
    <x v="4"/>
    <n v="305"/>
    <n v="500"/>
    <n v="31000"/>
    <n v="0.61"/>
    <n v="0.39"/>
  </r>
  <r>
    <s v="E006"/>
    <x v="5"/>
    <x v="1"/>
    <x v="5"/>
    <n v="390"/>
    <n v="500"/>
    <n v="21000"/>
    <n v="0.78"/>
    <n v="0.21999999999999997"/>
  </r>
  <r>
    <s v="E007"/>
    <x v="6"/>
    <x v="2"/>
    <x v="6"/>
    <n v="420"/>
    <n v="500"/>
    <n v="19500"/>
    <n v="0.84"/>
    <n v="0.16000000000000003"/>
  </r>
  <r>
    <s v="E008"/>
    <x v="7"/>
    <x v="3"/>
    <x v="7"/>
    <n v="321"/>
    <n v="500"/>
    <n v="17500"/>
    <n v="0.64200000000000002"/>
    <n v="0.35799999999999998"/>
  </r>
  <r>
    <s v="E009"/>
    <x v="8"/>
    <x v="0"/>
    <x v="8"/>
    <n v="302"/>
    <n v="500"/>
    <n v="13000"/>
    <n v="0.60399999999999998"/>
    <n v="0.39600000000000002"/>
  </r>
  <r>
    <s v="E010"/>
    <x v="9"/>
    <x v="1"/>
    <x v="9"/>
    <n v="312"/>
    <n v="500"/>
    <n v="22500"/>
    <n v="0.624"/>
    <n v="0.376"/>
  </r>
  <r>
    <s v="E011"/>
    <x v="10"/>
    <x v="3"/>
    <x v="10"/>
    <n v="352"/>
    <n v="500"/>
    <n v="20000"/>
    <n v="0.70400000000000007"/>
    <n v="0.29599999999999993"/>
  </r>
  <r>
    <s v="E012"/>
    <x v="11"/>
    <x v="2"/>
    <x v="11"/>
    <n v="410"/>
    <n v="500"/>
    <n v="48000"/>
    <n v="0.82"/>
    <n v="0.18000000000000005"/>
  </r>
  <r>
    <s v="E013"/>
    <x v="12"/>
    <x v="0"/>
    <x v="12"/>
    <n v="349"/>
    <n v="500"/>
    <n v="47000"/>
    <n v="0.69799999999999995"/>
    <n v="0.30200000000000005"/>
  </r>
  <r>
    <s v="E014"/>
    <x v="13"/>
    <x v="1"/>
    <x v="13"/>
    <n v="300"/>
    <n v="500"/>
    <n v="12000"/>
    <n v="0.6"/>
    <n v="0.4"/>
  </r>
  <r>
    <s v="E015"/>
    <x v="14"/>
    <x v="3"/>
    <x v="14"/>
    <n v="365"/>
    <n v="500"/>
    <n v="19000"/>
    <n v="0.73"/>
    <n v="0.27"/>
  </r>
  <r>
    <s v="E016"/>
    <x v="15"/>
    <x v="0"/>
    <x v="15"/>
    <n v="358"/>
    <n v="500"/>
    <n v="58000"/>
    <n v="0.71599999999999997"/>
    <n v="0.28400000000000003"/>
  </r>
  <r>
    <s v="E017"/>
    <x v="16"/>
    <x v="1"/>
    <x v="16"/>
    <n v="311"/>
    <n v="500"/>
    <n v="32000"/>
    <n v="0.622"/>
    <n v="0.378"/>
  </r>
  <r>
    <s v="E018"/>
    <x v="17"/>
    <x v="2"/>
    <x v="17"/>
    <n v="353"/>
    <n v="500"/>
    <n v="55000"/>
    <n v="0.70599999999999996"/>
    <n v="0.29400000000000004"/>
  </r>
  <r>
    <s v="E019"/>
    <x v="18"/>
    <x v="3"/>
    <x v="18"/>
    <n v="317"/>
    <n v="500"/>
    <n v="26000"/>
    <n v="0.63400000000000001"/>
    <n v="0.36599999999999999"/>
  </r>
  <r>
    <s v="E020"/>
    <x v="19"/>
    <x v="0"/>
    <x v="19"/>
    <n v="393"/>
    <n v="500"/>
    <n v="60000"/>
    <n v="0.78599999999999992"/>
    <n v="0.21400000000000008"/>
  </r>
  <r>
    <s v="E021"/>
    <x v="20"/>
    <x v="1"/>
    <x v="20"/>
    <n v="352"/>
    <n v="500"/>
    <n v="14000"/>
    <n v="0.70400000000000007"/>
    <n v="0.29599999999999993"/>
  </r>
  <r>
    <s v="E022"/>
    <x v="21"/>
    <x v="2"/>
    <x v="21"/>
    <n v="339"/>
    <n v="500"/>
    <n v="65000"/>
    <n v="0.67799999999999994"/>
    <n v="0.32200000000000006"/>
  </r>
  <r>
    <s v="E023"/>
    <x v="22"/>
    <x v="3"/>
    <x v="22"/>
    <n v="370"/>
    <n v="500"/>
    <n v="17000"/>
    <n v="0.74"/>
    <n v="0.26"/>
  </r>
  <r>
    <s v="E024"/>
    <x v="23"/>
    <x v="0"/>
    <x v="23"/>
    <n v="302"/>
    <n v="500"/>
    <n v="9000"/>
    <n v="0.60399999999999998"/>
    <n v="0.39600000000000002"/>
  </r>
  <r>
    <s v="E025"/>
    <x v="24"/>
    <x v="1"/>
    <x v="24"/>
    <n v="335"/>
    <n v="500"/>
    <n v="30000"/>
    <n v="0.67"/>
    <n v="0.32999999999999996"/>
  </r>
  <r>
    <s v="E026"/>
    <x v="25"/>
    <x v="2"/>
    <x v="25"/>
    <n v="370"/>
    <n v="500"/>
    <n v="12000"/>
    <n v="0.74"/>
    <n v="0.26"/>
  </r>
  <r>
    <s v="E027"/>
    <x v="26"/>
    <x v="3"/>
    <x v="26"/>
    <n v="384"/>
    <n v="500"/>
    <n v="15000"/>
    <n v="0.76800000000000002"/>
    <n v="0.23199999999999998"/>
  </r>
  <r>
    <s v="E028"/>
    <x v="27"/>
    <x v="0"/>
    <x v="27"/>
    <n v="343"/>
    <n v="500"/>
    <n v="8000"/>
    <n v="0.68599999999999994"/>
    <n v="0.31400000000000006"/>
  </r>
  <r>
    <s v="E029"/>
    <x v="28"/>
    <x v="1"/>
    <x v="28"/>
    <n v="388"/>
    <n v="500"/>
    <n v="13000"/>
    <n v="0.77599999999999991"/>
    <n v="0.22400000000000009"/>
  </r>
  <r>
    <s v="E030"/>
    <x v="29"/>
    <x v="2"/>
    <x v="29"/>
    <n v="417"/>
    <n v="500"/>
    <n v="40000"/>
    <n v="0.83400000000000007"/>
    <n v="0.16599999999999993"/>
  </r>
  <r>
    <s v="E031"/>
    <x v="30"/>
    <x v="3"/>
    <x v="30"/>
    <n v="381"/>
    <n v="500"/>
    <n v="11000"/>
    <n v="0.76200000000000001"/>
    <n v="0.23799999999999999"/>
  </r>
  <r>
    <s v="E032"/>
    <x v="31"/>
    <x v="0"/>
    <x v="31"/>
    <n v="398"/>
    <n v="500"/>
    <n v="10000"/>
    <n v="0.79599999999999993"/>
    <n v="0.20400000000000007"/>
  </r>
  <r>
    <s v="E033"/>
    <x v="32"/>
    <x v="1"/>
    <x v="32"/>
    <n v="413"/>
    <n v="500"/>
    <n v="19000"/>
    <n v="0.82599999999999996"/>
    <n v="0.17400000000000004"/>
  </r>
  <r>
    <s v="E034"/>
    <x v="33"/>
    <x v="2"/>
    <x v="33"/>
    <n v="361"/>
    <n v="500"/>
    <n v="21000"/>
    <n v="0.72199999999999998"/>
    <n v="0.27800000000000002"/>
  </r>
  <r>
    <s v="E035"/>
    <x v="34"/>
    <x v="3"/>
    <x v="34"/>
    <n v="312"/>
    <n v="500"/>
    <n v="8000"/>
    <n v="0.624"/>
    <n v="0.376"/>
  </r>
  <r>
    <s v="E036"/>
    <x v="35"/>
    <x v="0"/>
    <x v="35"/>
    <n v="399"/>
    <n v="500"/>
    <n v="95000"/>
    <n v="0.79799999999999993"/>
    <n v="0.20200000000000007"/>
  </r>
  <r>
    <s v="E037"/>
    <x v="36"/>
    <x v="1"/>
    <x v="36"/>
    <n v="399"/>
    <n v="500"/>
    <n v="18000"/>
    <n v="0.79799999999999993"/>
    <n v="0.20200000000000007"/>
  </r>
  <r>
    <s v="E038"/>
    <x v="37"/>
    <x v="2"/>
    <x v="37"/>
    <n v="392"/>
    <n v="500"/>
    <n v="17000"/>
    <n v="0.78400000000000003"/>
    <n v="0.21599999999999997"/>
  </r>
  <r>
    <s v="E039"/>
    <x v="38"/>
    <x v="3"/>
    <x v="38"/>
    <n v="350"/>
    <n v="500"/>
    <n v="12000"/>
    <n v="0.7"/>
    <n v="0.30000000000000004"/>
  </r>
  <r>
    <s v="E040"/>
    <x v="39"/>
    <x v="0"/>
    <x v="39"/>
    <n v="361"/>
    <n v="500"/>
    <n v="85000"/>
    <n v="0.72199999999999998"/>
    <n v="0.27800000000000002"/>
  </r>
  <r>
    <s v="E041"/>
    <x v="40"/>
    <x v="1"/>
    <x v="40"/>
    <n v="383"/>
    <n v="500"/>
    <n v="10000"/>
    <n v="0.7659999999999999"/>
    <n v="0.2340000000000001"/>
  </r>
  <r>
    <s v="E042"/>
    <x v="41"/>
    <x v="2"/>
    <x v="41"/>
    <n v="373"/>
    <n v="500"/>
    <n v="23000"/>
    <n v="0.746"/>
    <n v="0.254"/>
  </r>
  <r>
    <s v="E043"/>
    <x v="42"/>
    <x v="3"/>
    <x v="42"/>
    <n v="360"/>
    <n v="500"/>
    <n v="15000"/>
    <n v="0.72"/>
    <n v="0.28000000000000003"/>
  </r>
  <r>
    <s v="E044"/>
    <x v="43"/>
    <x v="0"/>
    <x v="43"/>
    <n v="307"/>
    <n v="500"/>
    <n v="27000"/>
    <n v="0.61399999999999999"/>
    <n v="0.38600000000000001"/>
  </r>
  <r>
    <s v="E045"/>
    <x v="44"/>
    <x v="1"/>
    <x v="44"/>
    <n v="347"/>
    <n v="500"/>
    <n v="35000"/>
    <n v="0.69400000000000006"/>
    <n v="0.30599999999999994"/>
  </r>
  <r>
    <s v="E046"/>
    <x v="45"/>
    <x v="2"/>
    <x v="45"/>
    <n v="325"/>
    <n v="500"/>
    <n v="60000"/>
    <n v="0.65"/>
    <n v="0.35"/>
  </r>
  <r>
    <s v="E047"/>
    <x v="46"/>
    <x v="3"/>
    <x v="46"/>
    <n v="360"/>
    <n v="500"/>
    <n v="25000"/>
    <n v="0.72"/>
    <n v="0.28000000000000003"/>
  </r>
  <r>
    <s v="E048"/>
    <x v="47"/>
    <x v="0"/>
    <x v="47"/>
    <n v="309"/>
    <n v="500"/>
    <n v="11000"/>
    <n v="0.61799999999999999"/>
    <n v="0.38200000000000001"/>
  </r>
  <r>
    <s v="E049"/>
    <x v="48"/>
    <x v="1"/>
    <x v="48"/>
    <n v="355"/>
    <n v="500"/>
    <n v="8000"/>
    <n v="0.71"/>
    <n v="0.29000000000000004"/>
  </r>
  <r>
    <s v="E050"/>
    <x v="49"/>
    <x v="2"/>
    <x v="49"/>
    <n v="322"/>
    <n v="500"/>
    <n v="45000"/>
    <n v="0.64400000000000002"/>
    <n v="0.35599999999999998"/>
  </r>
  <r>
    <s v="E051"/>
    <x v="50"/>
    <x v="3"/>
    <x v="50"/>
    <n v="349"/>
    <n v="500"/>
    <n v="13000"/>
    <n v="0.69799999999999995"/>
    <n v="0.30200000000000005"/>
  </r>
  <r>
    <s v="E052"/>
    <x v="51"/>
    <x v="0"/>
    <x v="51"/>
    <n v="356"/>
    <n v="500"/>
    <n v="70000"/>
    <n v="0.71200000000000008"/>
    <n v="0.28799999999999992"/>
  </r>
  <r>
    <s v="E053"/>
    <x v="52"/>
    <x v="1"/>
    <x v="16"/>
    <n v="322"/>
    <n v="500"/>
    <n v="29000"/>
    <n v="0.64400000000000002"/>
    <n v="0.35599999999999998"/>
  </r>
  <r>
    <s v="E054"/>
    <x v="53"/>
    <x v="2"/>
    <x v="52"/>
    <n v="388"/>
    <n v="500"/>
    <n v="19000"/>
    <n v="0.77599999999999991"/>
    <n v="0.22400000000000009"/>
  </r>
  <r>
    <s v="E055"/>
    <x v="54"/>
    <x v="3"/>
    <x v="53"/>
    <n v="367"/>
    <n v="500"/>
    <n v="9000"/>
    <n v="0.7340000000000001"/>
    <n v="0.2659999999999999"/>
  </r>
  <r>
    <s v="E056"/>
    <x v="55"/>
    <x v="0"/>
    <x v="54"/>
    <n v="396"/>
    <n v="500"/>
    <n v="75000"/>
    <n v="0.79200000000000004"/>
    <n v="0.20799999999999996"/>
  </r>
  <r>
    <s v="E057"/>
    <x v="56"/>
    <x v="1"/>
    <x v="55"/>
    <n v="372"/>
    <n v="500"/>
    <n v="17000"/>
    <n v="0.74400000000000011"/>
    <n v="0.25599999999999989"/>
  </r>
  <r>
    <s v="E058"/>
    <x v="57"/>
    <x v="2"/>
    <x v="56"/>
    <n v="394"/>
    <n v="500"/>
    <n v="8000"/>
    <n v="0.78799999999999992"/>
    <n v="0.21200000000000008"/>
  </r>
  <r>
    <s v="E059"/>
    <x v="58"/>
    <x v="3"/>
    <x v="57"/>
    <n v="370"/>
    <n v="500"/>
    <n v="14000"/>
    <n v="0.74"/>
    <n v="0.26"/>
  </r>
  <r>
    <s v="E060"/>
    <x v="59"/>
    <x v="0"/>
    <x v="58"/>
    <n v="381"/>
    <n v="500"/>
    <n v="13000"/>
    <n v="0.76200000000000001"/>
    <n v="0.23799999999999999"/>
  </r>
  <r>
    <s v="E061"/>
    <x v="60"/>
    <x v="1"/>
    <x v="59"/>
    <n v="394"/>
    <n v="500"/>
    <n v="20000"/>
    <n v="0.78799999999999992"/>
    <n v="0.21200000000000008"/>
  </r>
  <r>
    <s v="E062"/>
    <x v="61"/>
    <x v="2"/>
    <x v="60"/>
    <n v="383"/>
    <n v="500"/>
    <n v="10000"/>
    <n v="0.7659999999999999"/>
    <n v="0.2340000000000001"/>
  </r>
  <r>
    <s v="E063"/>
    <x v="62"/>
    <x v="3"/>
    <x v="61"/>
    <n v="367"/>
    <n v="500"/>
    <n v="7000"/>
    <n v="0.7340000000000001"/>
    <n v="0.2659999999999999"/>
  </r>
  <r>
    <s v="E064"/>
    <x v="63"/>
    <x v="0"/>
    <x v="62"/>
    <n v="417"/>
    <n v="500"/>
    <n v="95000"/>
    <n v="0.83400000000000007"/>
    <n v="0.16599999999999993"/>
  </r>
  <r>
    <s v="E065"/>
    <x v="64"/>
    <x v="1"/>
    <x v="63"/>
    <n v="357"/>
    <n v="500"/>
    <n v="27000"/>
    <n v="0.71400000000000008"/>
    <n v="0.28599999999999992"/>
  </r>
  <r>
    <s v="E066"/>
    <x v="65"/>
    <x v="2"/>
    <x v="64"/>
    <n v="374"/>
    <n v="500"/>
    <n v="38000"/>
    <n v="0.748"/>
    <n v="0.252"/>
  </r>
  <r>
    <s v="E067"/>
    <x v="66"/>
    <x v="3"/>
    <x v="65"/>
    <n v="344"/>
    <n v="500"/>
    <n v="12000"/>
    <n v="0.68799999999999994"/>
    <n v="0.31200000000000006"/>
  </r>
  <r>
    <s v="E068"/>
    <x v="67"/>
    <x v="0"/>
    <x v="66"/>
    <n v="368"/>
    <n v="500"/>
    <n v="120000"/>
    <n v="0.73599999999999999"/>
    <n v="0.26400000000000001"/>
  </r>
  <r>
    <s v="E069"/>
    <x v="68"/>
    <x v="1"/>
    <x v="67"/>
    <n v="348"/>
    <n v="500"/>
    <n v="5000"/>
    <n v="0.69599999999999995"/>
    <n v="0.30400000000000005"/>
  </r>
  <r>
    <s v="E070"/>
    <x v="69"/>
    <x v="2"/>
    <x v="68"/>
    <n v="415"/>
    <n v="500"/>
    <n v="21000"/>
    <n v="0.83"/>
    <n v="0.17000000000000004"/>
  </r>
  <r>
    <s v="E071"/>
    <x v="70"/>
    <x v="3"/>
    <x v="69"/>
    <n v="314"/>
    <n v="500"/>
    <n v="16000"/>
    <n v="0.628"/>
    <n v="0.372"/>
  </r>
  <r>
    <s v="E072"/>
    <x v="71"/>
    <x v="0"/>
    <x v="70"/>
    <n v="351"/>
    <n v="500"/>
    <n v="7000"/>
    <n v="0.70200000000000007"/>
    <n v="0.29799999999999993"/>
  </r>
  <r>
    <s v="E073"/>
    <x v="72"/>
    <x v="1"/>
    <x v="71"/>
    <n v="314"/>
    <n v="500"/>
    <n v="19000"/>
    <n v="0.628"/>
    <n v="0.372"/>
  </r>
  <r>
    <s v="E074"/>
    <x v="73"/>
    <x v="2"/>
    <x v="72"/>
    <n v="342"/>
    <n v="500"/>
    <n v="24000"/>
    <n v="0.68400000000000005"/>
    <n v="0.31599999999999995"/>
  </r>
  <r>
    <s v="E075"/>
    <x v="74"/>
    <x v="3"/>
    <x v="73"/>
    <n v="408"/>
    <n v="500"/>
    <n v="11000"/>
    <n v="0.81599999999999995"/>
    <n v="0.18400000000000005"/>
  </r>
  <r>
    <s v="E076"/>
    <x v="75"/>
    <x v="0"/>
    <x v="74"/>
    <n v="409"/>
    <n v="500"/>
    <n v="88000"/>
    <n v="0.81799999999999995"/>
    <n v="0.18200000000000005"/>
  </r>
  <r>
    <s v="E077"/>
    <x v="76"/>
    <x v="1"/>
    <x v="20"/>
    <n v="342"/>
    <n v="500"/>
    <n v="16000"/>
    <n v="0.68400000000000005"/>
    <n v="0.31599999999999995"/>
  </r>
  <r>
    <s v="E078"/>
    <x v="77"/>
    <x v="2"/>
    <x v="6"/>
    <n v="404"/>
    <n v="500"/>
    <n v="18000"/>
    <n v="0.80799999999999994"/>
    <n v="0.19200000000000006"/>
  </r>
  <r>
    <s v="E079"/>
    <x v="78"/>
    <x v="3"/>
    <x v="75"/>
    <n v="379"/>
    <n v="500"/>
    <n v="13000"/>
    <n v="0.75800000000000001"/>
    <n v="0.24199999999999999"/>
  </r>
  <r>
    <s v="E080"/>
    <x v="79"/>
    <x v="0"/>
    <x v="76"/>
    <n v="371"/>
    <n v="500"/>
    <n v="68000"/>
    <n v="0.74199999999999999"/>
    <n v="0.25800000000000001"/>
  </r>
  <r>
    <s v="E081"/>
    <x v="80"/>
    <x v="1"/>
    <x v="16"/>
    <n v="328"/>
    <n v="500"/>
    <n v="31000"/>
    <n v="0.65599999999999992"/>
    <n v="0.34400000000000008"/>
  </r>
  <r>
    <s v="E082"/>
    <x v="81"/>
    <x v="2"/>
    <x v="2"/>
    <n v="323"/>
    <n v="500"/>
    <n v="20000"/>
    <n v="0.64599999999999991"/>
    <n v="0.35400000000000009"/>
  </r>
  <r>
    <s v="E083"/>
    <x v="82"/>
    <x v="3"/>
    <x v="77"/>
    <n v="327"/>
    <n v="500"/>
    <n v="14000"/>
    <n v="0.65400000000000003"/>
    <n v="0.34599999999999997"/>
  </r>
  <r>
    <s v="E084"/>
    <x v="83"/>
    <x v="0"/>
    <x v="0"/>
    <n v="359"/>
    <n v="500"/>
    <n v="145000"/>
    <n v="0.71799999999999997"/>
    <n v="0.28200000000000003"/>
  </r>
  <r>
    <s v="E085"/>
    <x v="84"/>
    <x v="1"/>
    <x v="28"/>
    <n v="314"/>
    <n v="500"/>
    <n v="12000"/>
    <n v="0.628"/>
    <n v="0.372"/>
  </r>
  <r>
    <s v="E086"/>
    <x v="85"/>
    <x v="2"/>
    <x v="41"/>
    <n v="358"/>
    <n v="500"/>
    <n v="23000"/>
    <n v="0.71599999999999997"/>
    <n v="0.28400000000000003"/>
  </r>
  <r>
    <s v="E087"/>
    <x v="86"/>
    <x v="3"/>
    <x v="78"/>
    <n v="356"/>
    <n v="500"/>
    <n v="10000"/>
    <n v="0.71200000000000008"/>
    <n v="0.28799999999999992"/>
  </r>
  <r>
    <s v="E088"/>
    <x v="87"/>
    <x v="0"/>
    <x v="79"/>
    <n v="366"/>
    <n v="500"/>
    <n v="25000"/>
    <n v="0.73199999999999998"/>
    <n v="0.26800000000000002"/>
  </r>
  <r>
    <s v="E089"/>
    <x v="88"/>
    <x v="1"/>
    <x v="48"/>
    <n v="332"/>
    <n v="500"/>
    <n v="9000"/>
    <n v="0.66400000000000003"/>
    <n v="0.33599999999999997"/>
  </r>
  <r>
    <s v="E090"/>
    <x v="89"/>
    <x v="2"/>
    <x v="45"/>
    <n v="352"/>
    <n v="500"/>
    <n v="55000"/>
    <n v="0.70400000000000007"/>
    <n v="0.29599999999999993"/>
  </r>
  <r>
    <s v="E091"/>
    <x v="90"/>
    <x v="3"/>
    <x v="80"/>
    <n v="377"/>
    <n v="500"/>
    <n v="6000"/>
    <n v="0.754"/>
    <n v="0.246"/>
  </r>
  <r>
    <s v="E092"/>
    <x v="91"/>
    <x v="0"/>
    <x v="23"/>
    <n v="325"/>
    <n v="500"/>
    <n v="8000"/>
    <n v="0.65"/>
    <n v="0.35"/>
  </r>
  <r>
    <s v="E093"/>
    <x v="92"/>
    <x v="1"/>
    <x v="1"/>
    <n v="411"/>
    <n v="500"/>
    <n v="26000"/>
    <n v="0.82200000000000006"/>
    <n v="0.17799999999999994"/>
  </r>
  <r>
    <s v="E094"/>
    <x v="93"/>
    <x v="2"/>
    <x v="81"/>
    <n v="346"/>
    <n v="500"/>
    <n v="50000"/>
    <n v="0.69200000000000006"/>
    <n v="0.30799999999999994"/>
  </r>
  <r>
    <s v="E095"/>
    <x v="94"/>
    <x v="3"/>
    <x v="82"/>
    <n v="330"/>
    <n v="500"/>
    <n v="14000"/>
    <n v="0.66"/>
    <n v="0.33999999999999997"/>
  </r>
  <r>
    <s v="E096"/>
    <x v="95"/>
    <x v="0"/>
    <x v="19"/>
    <n v="365"/>
    <n v="500"/>
    <n v="62000"/>
    <n v="0.73"/>
    <n v="0.27"/>
  </r>
  <r>
    <s v="E097"/>
    <x v="96"/>
    <x v="1"/>
    <x v="5"/>
    <n v="404"/>
    <n v="500"/>
    <n v="19000"/>
    <n v="0.80799999999999994"/>
    <n v="0.19200000000000006"/>
  </r>
  <r>
    <s v="E098"/>
    <x v="97"/>
    <x v="2"/>
    <x v="17"/>
    <n v="380"/>
    <n v="500"/>
    <n v="57000"/>
    <n v="0.76"/>
    <n v="0.24"/>
  </r>
  <r>
    <s v="E099"/>
    <x v="98"/>
    <x v="3"/>
    <x v="14"/>
    <n v="343"/>
    <n v="500"/>
    <n v="17000"/>
    <n v="0.68599999999999994"/>
    <n v="0.31400000000000006"/>
  </r>
  <r>
    <s v="E100"/>
    <x v="99"/>
    <x v="0"/>
    <x v="12"/>
    <n v="340"/>
    <n v="500"/>
    <n v="52000"/>
    <n v="0.68"/>
    <n v="0.3199999999999999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1CB2CA-D7AD-4BB2-850D-44701F47A793}" name="PivotTable5"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J3:K8" firstHeaderRow="1" firstDataRow="1" firstDataCol="1"/>
  <pivotFields count="9">
    <pivotField showAll="0"/>
    <pivotField axis="axisRow" showAll="0" measureFilter="1" sortType="ascending">
      <items count="101">
        <item x="20"/>
        <item x="89"/>
        <item x="97"/>
        <item x="27"/>
        <item x="91"/>
        <item x="28"/>
        <item x="33"/>
        <item x="66"/>
        <item x="51"/>
        <item x="81"/>
        <item x="2"/>
        <item x="42"/>
        <item x="30"/>
        <item x="78"/>
        <item x="11"/>
        <item x="8"/>
        <item x="57"/>
        <item x="48"/>
        <item x="80"/>
        <item x="90"/>
        <item x="47"/>
        <item x="6"/>
        <item x="39"/>
        <item x="68"/>
        <item x="16"/>
        <item x="96"/>
        <item x="87"/>
        <item x="15"/>
        <item x="67"/>
        <item x="49"/>
        <item x="25"/>
        <item x="46"/>
        <item x="65"/>
        <item x="84"/>
        <item x="92"/>
        <item x="4"/>
        <item x="54"/>
        <item x="60"/>
        <item x="71"/>
        <item x="26"/>
        <item x="74"/>
        <item x="85"/>
        <item x="53"/>
        <item x="31"/>
        <item x="35"/>
        <item x="44"/>
        <item x="7"/>
        <item x="55"/>
        <item x="14"/>
        <item x="93"/>
        <item x="23"/>
        <item x="3"/>
        <item x="58"/>
        <item x="76"/>
        <item x="19"/>
        <item x="36"/>
        <item x="82"/>
        <item x="95"/>
        <item x="64"/>
        <item x="9"/>
        <item x="52"/>
        <item x="32"/>
        <item x="94"/>
        <item x="1"/>
        <item x="75"/>
        <item x="41"/>
        <item x="22"/>
        <item x="37"/>
        <item x="61"/>
        <item x="50"/>
        <item x="72"/>
        <item x="13"/>
        <item x="0"/>
        <item x="29"/>
        <item x="83"/>
        <item x="88"/>
        <item x="56"/>
        <item x="40"/>
        <item x="45"/>
        <item x="17"/>
        <item x="10"/>
        <item x="63"/>
        <item x="86"/>
        <item x="62"/>
        <item x="73"/>
        <item x="21"/>
        <item x="38"/>
        <item x="79"/>
        <item x="5"/>
        <item x="34"/>
        <item x="24"/>
        <item x="98"/>
        <item x="18"/>
        <item x="69"/>
        <item x="59"/>
        <item x="77"/>
        <item x="43"/>
        <item x="12"/>
        <item x="70"/>
        <item x="99"/>
        <item t="default"/>
      </items>
      <autoSortScope>
        <pivotArea dataOnly="0" outline="0" fieldPosition="0">
          <references count="1">
            <reference field="4294967294" count="1" selected="0">
              <x v="0"/>
            </reference>
          </references>
        </pivotArea>
      </autoSortScope>
    </pivotField>
    <pivotField showAll="0">
      <items count="5">
        <item h="1" x="1"/>
        <item x="0"/>
        <item h="1" x="2"/>
        <item h="1" x="3"/>
        <item t="default"/>
      </items>
    </pivotField>
    <pivotField showAll="0"/>
    <pivotField showAll="0"/>
    <pivotField showAll="0"/>
    <pivotField showAll="0"/>
    <pivotField numFmtId="10" showAll="0"/>
    <pivotField dataField="1" numFmtId="10" showAll="0"/>
  </pivotFields>
  <rowFields count="1">
    <field x="1"/>
  </rowFields>
  <rowItems count="5">
    <i>
      <x v="4"/>
    </i>
    <i>
      <x v="20"/>
    </i>
    <i>
      <x v="96"/>
    </i>
    <i>
      <x v="50"/>
    </i>
    <i>
      <x v="15"/>
    </i>
  </rowItems>
  <colItems count="1">
    <i/>
  </colItems>
  <dataFields count="1">
    <dataField name="Away From Target % Wise" fld="8" baseField="1" baseItem="0" numFmtId="10"/>
  </dataFields>
  <formats count="5">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9"/>
            <x v="29"/>
            <x v="78"/>
            <x v="84"/>
            <x v="85"/>
          </reference>
        </references>
      </pivotArea>
    </format>
    <format dxfId="40">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0"/>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5"/>
          </reference>
        </references>
      </pivotArea>
    </chartFormat>
    <chartFormat chart="0" format="4">
      <pivotArea type="data" outline="0" fieldPosition="0">
        <references count="2">
          <reference field="4294967294" count="1" selected="0">
            <x v="0"/>
          </reference>
          <reference field="1" count="1" selected="0">
            <x v="96"/>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CFAE87-781E-442F-B8E9-D659159C3186}"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G3:H8" firstHeaderRow="1" firstDataRow="1" firstDataCol="1"/>
  <pivotFields count="9">
    <pivotField showAll="0"/>
    <pivotField axis="axisRow" showAll="0" measureFilter="1" sortType="descending">
      <items count="101">
        <item x="20"/>
        <item x="89"/>
        <item x="97"/>
        <item x="27"/>
        <item x="91"/>
        <item x="28"/>
        <item x="33"/>
        <item x="66"/>
        <item x="51"/>
        <item x="81"/>
        <item x="2"/>
        <item x="42"/>
        <item x="30"/>
        <item x="78"/>
        <item x="11"/>
        <item x="8"/>
        <item x="57"/>
        <item x="48"/>
        <item x="80"/>
        <item x="90"/>
        <item x="47"/>
        <item x="6"/>
        <item x="39"/>
        <item x="68"/>
        <item x="16"/>
        <item x="96"/>
        <item x="87"/>
        <item x="15"/>
        <item x="67"/>
        <item x="49"/>
        <item x="25"/>
        <item x="46"/>
        <item x="65"/>
        <item x="84"/>
        <item x="92"/>
        <item x="4"/>
        <item x="54"/>
        <item x="60"/>
        <item x="71"/>
        <item x="26"/>
        <item x="74"/>
        <item x="85"/>
        <item x="53"/>
        <item x="31"/>
        <item x="35"/>
        <item x="44"/>
        <item x="7"/>
        <item x="55"/>
        <item x="14"/>
        <item x="93"/>
        <item x="23"/>
        <item x="3"/>
        <item x="58"/>
        <item x="76"/>
        <item x="19"/>
        <item x="36"/>
        <item x="82"/>
        <item x="95"/>
        <item x="64"/>
        <item x="9"/>
        <item x="52"/>
        <item x="32"/>
        <item x="94"/>
        <item x="1"/>
        <item x="75"/>
        <item x="41"/>
        <item x="22"/>
        <item x="37"/>
        <item x="61"/>
        <item x="50"/>
        <item x="72"/>
        <item x="13"/>
        <item x="0"/>
        <item x="29"/>
        <item x="83"/>
        <item x="88"/>
        <item x="56"/>
        <item x="40"/>
        <item x="45"/>
        <item x="17"/>
        <item x="10"/>
        <item x="63"/>
        <item x="86"/>
        <item x="62"/>
        <item x="73"/>
        <item x="21"/>
        <item x="38"/>
        <item x="79"/>
        <item x="5"/>
        <item x="34"/>
        <item x="24"/>
        <item x="98"/>
        <item x="18"/>
        <item x="69"/>
        <item x="59"/>
        <item x="77"/>
        <item x="43"/>
        <item x="12"/>
        <item x="70"/>
        <item x="99"/>
        <item t="default"/>
      </items>
      <autoSortScope>
        <pivotArea dataOnly="0" outline="0" fieldPosition="0">
          <references count="1">
            <reference field="4294967294" count="1" selected="0">
              <x v="0"/>
            </reference>
          </references>
        </pivotArea>
      </autoSortScope>
    </pivotField>
    <pivotField showAll="0">
      <items count="5">
        <item h="1" x="1"/>
        <item x="0"/>
        <item h="1" x="2"/>
        <item h="1" x="3"/>
        <item t="default"/>
      </items>
    </pivotField>
    <pivotField showAll="0"/>
    <pivotField showAll="0"/>
    <pivotField showAll="0"/>
    <pivotField showAll="0"/>
    <pivotField dataField="1" numFmtId="10" showAll="0"/>
    <pivotField numFmtId="10" showAll="0"/>
  </pivotFields>
  <rowFields count="1">
    <field x="1"/>
  </rowFields>
  <rowItems count="5">
    <i>
      <x v="81"/>
    </i>
    <i>
      <x v="64"/>
    </i>
    <i>
      <x v="44"/>
    </i>
    <i>
      <x v="43"/>
    </i>
    <i>
      <x v="47"/>
    </i>
  </rowItems>
  <colItems count="1">
    <i/>
  </colItems>
  <dataFields count="1">
    <dataField name="Target Hit % Wise" fld="7" baseField="1" baseItem="3" numFmtId="10"/>
  </dataFields>
  <formats count="5">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5">
            <x v="21"/>
            <x v="61"/>
            <x v="73"/>
            <x v="81"/>
            <x v="93"/>
          </reference>
        </references>
      </pivotArea>
    </format>
    <format dxfId="4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1"/>
          </reference>
        </references>
      </pivotArea>
    </chartFormat>
    <chartFormat chart="0" format="2">
      <pivotArea type="data" outline="0" fieldPosition="0">
        <references count="2">
          <reference field="4294967294" count="1" selected="0">
            <x v="0"/>
          </reference>
          <reference field="1" count="1" selected="0">
            <x v="81"/>
          </reference>
        </references>
      </pivotArea>
    </chartFormat>
    <chartFormat chart="0" format="3">
      <pivotArea type="data" outline="0" fieldPosition="0">
        <references count="2">
          <reference field="4294967294" count="1" selected="0">
            <x v="0"/>
          </reference>
          <reference field="1" count="1" selected="0">
            <x v="73"/>
          </reference>
        </references>
      </pivotArea>
    </chartFormat>
    <chartFormat chart="0" format="4">
      <pivotArea type="data" outline="0" fieldPosition="0">
        <references count="2">
          <reference field="4294967294" count="1" selected="0">
            <x v="0"/>
          </reference>
          <reference field="1" count="1" selected="0">
            <x v="93"/>
          </reference>
        </references>
      </pivotArea>
    </chartFormat>
    <chartFormat chart="0" format="5">
      <pivotArea type="data" outline="0" fieldPosition="0">
        <references count="2">
          <reference field="4294967294" count="1" selected="0">
            <x v="0"/>
          </reference>
          <reference field="1" count="1" selected="0">
            <x v="61"/>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FF06E2-41A1-4F34-B90B-75106A4C09E3}"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9">
    <pivotField showAll="0"/>
    <pivotField axis="axisRow" showAll="0" measureFilter="1" sortType="ascending">
      <items count="101">
        <item x="20"/>
        <item x="89"/>
        <item x="97"/>
        <item x="27"/>
        <item x="91"/>
        <item x="28"/>
        <item x="33"/>
        <item x="66"/>
        <item x="51"/>
        <item x="81"/>
        <item x="2"/>
        <item x="42"/>
        <item x="30"/>
        <item x="78"/>
        <item x="11"/>
        <item x="8"/>
        <item x="57"/>
        <item x="48"/>
        <item x="80"/>
        <item x="90"/>
        <item x="47"/>
        <item x="6"/>
        <item x="39"/>
        <item x="68"/>
        <item x="16"/>
        <item x="96"/>
        <item x="87"/>
        <item x="15"/>
        <item x="67"/>
        <item x="49"/>
        <item x="25"/>
        <item x="46"/>
        <item x="65"/>
        <item x="84"/>
        <item x="92"/>
        <item x="4"/>
        <item x="54"/>
        <item x="60"/>
        <item x="71"/>
        <item x="26"/>
        <item x="74"/>
        <item x="85"/>
        <item x="53"/>
        <item x="31"/>
        <item x="35"/>
        <item x="44"/>
        <item x="7"/>
        <item x="55"/>
        <item x="14"/>
        <item x="93"/>
        <item x="23"/>
        <item x="3"/>
        <item x="58"/>
        <item x="76"/>
        <item x="19"/>
        <item x="36"/>
        <item x="82"/>
        <item x="95"/>
        <item x="64"/>
        <item x="9"/>
        <item x="52"/>
        <item x="32"/>
        <item x="94"/>
        <item x="1"/>
        <item x="75"/>
        <item x="41"/>
        <item x="22"/>
        <item x="37"/>
        <item x="61"/>
        <item x="50"/>
        <item x="72"/>
        <item x="13"/>
        <item x="0"/>
        <item x="29"/>
        <item x="83"/>
        <item x="88"/>
        <item x="56"/>
        <item x="40"/>
        <item x="45"/>
        <item x="17"/>
        <item x="10"/>
        <item x="63"/>
        <item x="86"/>
        <item x="62"/>
        <item x="73"/>
        <item x="21"/>
        <item x="38"/>
        <item x="79"/>
        <item x="5"/>
        <item x="34"/>
        <item x="24"/>
        <item x="98"/>
        <item x="18"/>
        <item x="69"/>
        <item x="59"/>
        <item x="77"/>
        <item x="43"/>
        <item x="12"/>
        <item x="70"/>
        <item x="99"/>
        <item t="default"/>
      </items>
      <autoSortScope>
        <pivotArea dataOnly="0" outline="0" fieldPosition="0">
          <references count="1">
            <reference field="4294967294" count="1" selected="0">
              <x v="0"/>
            </reference>
          </references>
        </pivotArea>
      </autoSortScope>
    </pivotField>
    <pivotField showAll="0">
      <items count="5">
        <item h="1" x="1"/>
        <item x="0"/>
        <item h="1" x="2"/>
        <item h="1" x="3"/>
        <item t="default"/>
      </items>
    </pivotField>
    <pivotField showAll="0">
      <items count="84">
        <item x="17"/>
        <item x="30"/>
        <item x="24"/>
        <item x="43"/>
        <item x="41"/>
        <item x="61"/>
        <item x="39"/>
        <item x="67"/>
        <item x="6"/>
        <item x="82"/>
        <item x="50"/>
        <item x="33"/>
        <item x="7"/>
        <item x="51"/>
        <item x="29"/>
        <item x="65"/>
        <item x="21"/>
        <item x="52"/>
        <item x="72"/>
        <item x="1"/>
        <item x="62"/>
        <item x="46"/>
        <item x="8"/>
        <item x="26"/>
        <item x="74"/>
        <item x="44"/>
        <item x="70"/>
        <item x="58"/>
        <item x="59"/>
        <item x="69"/>
        <item x="9"/>
        <item x="5"/>
        <item x="77"/>
        <item x="73"/>
        <item x="23"/>
        <item x="36"/>
        <item x="56"/>
        <item x="0"/>
        <item x="64"/>
        <item x="60"/>
        <item x="76"/>
        <item x="15"/>
        <item x="27"/>
        <item x="53"/>
        <item x="57"/>
        <item x="31"/>
        <item x="54"/>
        <item x="22"/>
        <item x="49"/>
        <item x="4"/>
        <item x="47"/>
        <item x="80"/>
        <item x="34"/>
        <item x="16"/>
        <item x="48"/>
        <item x="55"/>
        <item x="37"/>
        <item x="40"/>
        <item x="20"/>
        <item x="3"/>
        <item x="12"/>
        <item x="78"/>
        <item x="38"/>
        <item x="81"/>
        <item x="11"/>
        <item x="79"/>
        <item x="42"/>
        <item x="25"/>
        <item x="10"/>
        <item x="63"/>
        <item x="32"/>
        <item x="2"/>
        <item x="19"/>
        <item x="14"/>
        <item x="35"/>
        <item x="28"/>
        <item x="71"/>
        <item x="13"/>
        <item x="68"/>
        <item x="45"/>
        <item x="66"/>
        <item x="18"/>
        <item x="75"/>
        <item t="default"/>
      </items>
    </pivotField>
    <pivotField dataField="1" showAll="0"/>
    <pivotField showAll="0"/>
    <pivotField showAll="0"/>
    <pivotField numFmtId="10" showAll="0"/>
    <pivotField numFmtId="10" showAll="0"/>
  </pivotFields>
  <rowFields count="1">
    <field x="1"/>
  </rowFields>
  <rowItems count="5">
    <i>
      <x v="15"/>
    </i>
    <i>
      <x v="50"/>
    </i>
    <i>
      <x v="96"/>
    </i>
    <i>
      <x v="20"/>
    </i>
    <i>
      <x v="4"/>
    </i>
  </rowItems>
  <colItems count="1">
    <i/>
  </colItems>
  <dataFields count="1">
    <dataField name="Total Sale" fld="4" baseField="1" baseItem="0"/>
  </dataFields>
  <formats count="5">
    <format dxfId="54">
      <pivotArea type="all" dataOnly="0" outline="0" fieldPosition="0"/>
    </format>
    <format dxfId="53">
      <pivotArea outline="0" collapsedLevelsAreSubtotals="1" fieldPosition="0"/>
    </format>
    <format dxfId="52">
      <pivotArea field="1" type="button" dataOnly="0" labelOnly="1" outline="0" axis="axisRow" fieldPosition="0"/>
    </format>
    <format dxfId="51">
      <pivotArea dataOnly="0" labelOnly="1" fieldPosition="0">
        <references count="1">
          <reference field="1" count="5">
            <x v="15"/>
            <x v="35"/>
            <x v="50"/>
            <x v="71"/>
            <x v="96"/>
          </reference>
        </references>
      </pivotArea>
    </format>
    <format dxfId="50">
      <pivotArea dataOnly="0" labelOnly="1" outline="0" axis="axisValues" fieldPosition="0"/>
    </format>
  </format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108E7-C9F8-433F-988C-9FB2987FD466}"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9">
    <pivotField showAll="0"/>
    <pivotField axis="axisRow" showAll="0" measureFilter="1" sortType="descending">
      <items count="101">
        <item x="20"/>
        <item x="89"/>
        <item x="97"/>
        <item x="27"/>
        <item x="91"/>
        <item x="28"/>
        <item x="33"/>
        <item x="66"/>
        <item x="51"/>
        <item x="81"/>
        <item x="2"/>
        <item x="42"/>
        <item x="30"/>
        <item x="78"/>
        <item x="11"/>
        <item x="8"/>
        <item x="57"/>
        <item x="48"/>
        <item x="80"/>
        <item x="90"/>
        <item x="47"/>
        <item x="6"/>
        <item x="39"/>
        <item x="68"/>
        <item x="16"/>
        <item x="96"/>
        <item x="87"/>
        <item x="15"/>
        <item x="67"/>
        <item x="49"/>
        <item x="25"/>
        <item x="46"/>
        <item x="65"/>
        <item x="84"/>
        <item x="92"/>
        <item x="4"/>
        <item x="54"/>
        <item x="60"/>
        <item x="71"/>
        <item x="26"/>
        <item x="74"/>
        <item x="85"/>
        <item x="53"/>
        <item x="31"/>
        <item x="35"/>
        <item x="44"/>
        <item x="7"/>
        <item x="55"/>
        <item x="14"/>
        <item x="93"/>
        <item x="23"/>
        <item x="3"/>
        <item x="58"/>
        <item x="76"/>
        <item x="19"/>
        <item x="36"/>
        <item x="82"/>
        <item x="95"/>
        <item x="64"/>
        <item x="9"/>
        <item x="52"/>
        <item x="32"/>
        <item x="94"/>
        <item x="1"/>
        <item x="75"/>
        <item x="41"/>
        <item x="22"/>
        <item x="37"/>
        <item x="61"/>
        <item x="50"/>
        <item x="72"/>
        <item x="13"/>
        <item x="0"/>
        <item x="29"/>
        <item x="83"/>
        <item x="88"/>
        <item x="56"/>
        <item x="40"/>
        <item x="45"/>
        <item x="17"/>
        <item x="10"/>
        <item x="63"/>
        <item x="86"/>
        <item x="62"/>
        <item x="73"/>
        <item x="21"/>
        <item x="38"/>
        <item x="79"/>
        <item x="5"/>
        <item x="34"/>
        <item x="24"/>
        <item x="98"/>
        <item x="18"/>
        <item x="69"/>
        <item x="59"/>
        <item x="77"/>
        <item x="43"/>
        <item x="12"/>
        <item x="70"/>
        <item x="99"/>
        <item t="default"/>
      </items>
      <autoSortScope>
        <pivotArea dataOnly="0" outline="0" fieldPosition="0">
          <references count="1">
            <reference field="4294967294" count="1" selected="0">
              <x v="0"/>
            </reference>
          </references>
        </pivotArea>
      </autoSortScope>
    </pivotField>
    <pivotField showAll="0">
      <items count="5">
        <item h="1" x="1"/>
        <item x="0"/>
        <item h="1" x="2"/>
        <item h="1" x="3"/>
        <item t="default"/>
      </items>
    </pivotField>
    <pivotField showAll="0"/>
    <pivotField dataField="1" showAll="0"/>
    <pivotField showAll="0"/>
    <pivotField showAll="0"/>
    <pivotField numFmtId="10" showAll="0"/>
    <pivotField numFmtId="10" showAll="0"/>
  </pivotFields>
  <rowFields count="1">
    <field x="1"/>
  </rowFields>
  <rowItems count="5">
    <i>
      <x v="81"/>
    </i>
    <i>
      <x v="64"/>
    </i>
    <i>
      <x v="44"/>
    </i>
    <i>
      <x v="43"/>
    </i>
    <i>
      <x v="47"/>
    </i>
  </rowItems>
  <colItems count="1">
    <i/>
  </colItems>
  <dataFields count="1">
    <dataField name="Total Sale" fld="4" baseField="1" baseItem="0"/>
  </dataFields>
  <formats count="5">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14"/>
            <x v="21"/>
            <x v="73"/>
            <x v="93"/>
            <x v="95"/>
          </reference>
        </references>
      </pivotArea>
    </format>
    <format dxfId="5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472C246-28C4-49E4-B9BA-93FBEC022E8A}" sourceName="Department">
  <pivotTables>
    <pivotTable tabId="4" name="PivotTable2"/>
    <pivotTable tabId="4" name="PivotTable5"/>
    <pivotTable tabId="4" name="PivotTable4"/>
    <pivotTable tabId="4" name="PivotTable3"/>
  </pivotTables>
  <data>
    <tabular pivotCacheId="1408202830">
      <items count="4">
        <i x="1"/>
        <i x="0" s="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DA91DF39-0748-4FB1-9664-1858FEC219A9}" cache="Slicer_Department" caption="Department" columnCount="4" showCaption="0" style="Slicer Style 1" rowHeight="54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FF2A2-786D-4C48-AD9E-0A9458A9A362}">
  <sheetPr codeName="Sheet1"/>
  <dimension ref="A1:K24"/>
  <sheetViews>
    <sheetView showGridLines="0" tabSelected="1" workbookViewId="0">
      <selection activeCell="N4" sqref="N4"/>
    </sheetView>
  </sheetViews>
  <sheetFormatPr defaultRowHeight="14.4" x14ac:dyDescent="0.3"/>
  <cols>
    <col min="1" max="1" width="22.109375" customWidth="1"/>
    <col min="2" max="2" width="17.6640625" customWidth="1"/>
    <col min="3" max="3" width="1.88671875" customWidth="1"/>
    <col min="4" max="4" width="20.33203125" customWidth="1"/>
    <col min="5" max="5" width="17.21875" customWidth="1"/>
    <col min="6" max="6" width="6.77734375" customWidth="1"/>
    <col min="7" max="7" width="18.6640625" customWidth="1"/>
    <col min="8" max="8" width="20.44140625" customWidth="1"/>
    <col min="9" max="9" width="2" customWidth="1"/>
    <col min="10" max="10" width="18.77734375" customWidth="1"/>
    <col min="11" max="11" width="23.77734375" customWidth="1"/>
  </cols>
  <sheetData>
    <row r="1" spans="1:11" s="2" customFormat="1" ht="39" customHeight="1" x14ac:dyDescent="0.3">
      <c r="A1" s="5" t="b">
        <v>1</v>
      </c>
      <c r="B1" s="6"/>
      <c r="C1" s="6"/>
      <c r="D1" s="6" t="b">
        <v>1</v>
      </c>
      <c r="E1" s="6"/>
      <c r="F1" s="6"/>
      <c r="G1" s="6" t="b">
        <v>1</v>
      </c>
      <c r="H1" s="6"/>
      <c r="I1" s="6"/>
      <c r="J1" s="6" t="b">
        <v>1</v>
      </c>
      <c r="K1" s="7"/>
    </row>
    <row r="2" spans="1:11" s="2" customFormat="1" ht="67.2" customHeight="1" x14ac:dyDescent="0.3">
      <c r="A2" s="8"/>
      <c r="K2" s="9"/>
    </row>
    <row r="3" spans="1:11" s="2" customFormat="1" x14ac:dyDescent="0.3">
      <c r="A3" s="3" t="s">
        <v>295</v>
      </c>
      <c r="B3" s="1" t="s">
        <v>296</v>
      </c>
      <c r="D3" s="3" t="s">
        <v>295</v>
      </c>
      <c r="E3" s="1" t="s">
        <v>296</v>
      </c>
      <c r="G3" s="3" t="s">
        <v>295</v>
      </c>
      <c r="H3" s="1" t="s">
        <v>298</v>
      </c>
      <c r="J3" s="3" t="s">
        <v>295</v>
      </c>
      <c r="K3" s="1" t="s">
        <v>299</v>
      </c>
    </row>
    <row r="4" spans="1:11" s="2" customFormat="1" x14ac:dyDescent="0.3">
      <c r="A4" s="15" t="s">
        <v>199</v>
      </c>
      <c r="B4" s="23">
        <v>417</v>
      </c>
      <c r="D4" s="20" t="s">
        <v>35</v>
      </c>
      <c r="E4" s="23">
        <v>302</v>
      </c>
      <c r="G4" s="4" t="s">
        <v>199</v>
      </c>
      <c r="H4" s="17">
        <v>0.83400000000000007</v>
      </c>
      <c r="J4" s="15" t="s">
        <v>274</v>
      </c>
      <c r="K4" s="17">
        <v>0.35</v>
      </c>
    </row>
    <row r="5" spans="1:11" s="2" customFormat="1" x14ac:dyDescent="0.3">
      <c r="A5" s="15" t="s">
        <v>235</v>
      </c>
      <c r="B5" s="24">
        <v>409</v>
      </c>
      <c r="D5" s="21" t="s">
        <v>80</v>
      </c>
      <c r="E5" s="24">
        <v>302</v>
      </c>
      <c r="G5" s="15" t="s">
        <v>235</v>
      </c>
      <c r="H5" s="18">
        <v>0.81799999999999995</v>
      </c>
      <c r="J5" s="15" t="s">
        <v>152</v>
      </c>
      <c r="K5" s="18">
        <v>0.38200000000000001</v>
      </c>
    </row>
    <row r="6" spans="1:11" s="2" customFormat="1" x14ac:dyDescent="0.3">
      <c r="A6" s="15" t="s">
        <v>116</v>
      </c>
      <c r="B6" s="24">
        <v>399</v>
      </c>
      <c r="D6" s="22" t="s">
        <v>140</v>
      </c>
      <c r="E6" s="24">
        <v>307</v>
      </c>
      <c r="G6" s="15" t="s">
        <v>116</v>
      </c>
      <c r="H6" s="18">
        <v>0.79799999999999993</v>
      </c>
      <c r="J6" s="15" t="s">
        <v>140</v>
      </c>
      <c r="K6" s="18">
        <v>0.38600000000000001</v>
      </c>
    </row>
    <row r="7" spans="1:11" s="2" customFormat="1" x14ac:dyDescent="0.3">
      <c r="A7" s="15" t="s">
        <v>104</v>
      </c>
      <c r="B7" s="24">
        <v>398</v>
      </c>
      <c r="D7" s="15" t="s">
        <v>152</v>
      </c>
      <c r="E7" s="24">
        <v>309</v>
      </c>
      <c r="G7" s="15" t="s">
        <v>104</v>
      </c>
      <c r="H7" s="18">
        <v>0.79599999999999993</v>
      </c>
      <c r="J7" s="15" t="s">
        <v>80</v>
      </c>
      <c r="K7" s="18">
        <v>0.39600000000000002</v>
      </c>
    </row>
    <row r="8" spans="1:11" s="2" customFormat="1" x14ac:dyDescent="0.3">
      <c r="A8" s="16" t="s">
        <v>175</v>
      </c>
      <c r="B8" s="25">
        <v>396</v>
      </c>
      <c r="D8" s="16" t="s">
        <v>274</v>
      </c>
      <c r="E8" s="25">
        <v>325</v>
      </c>
      <c r="G8" s="16" t="s">
        <v>175</v>
      </c>
      <c r="H8" s="19">
        <v>0.79200000000000004</v>
      </c>
      <c r="J8" s="16" t="s">
        <v>35</v>
      </c>
      <c r="K8" s="19">
        <v>0.39600000000000002</v>
      </c>
    </row>
    <row r="9" spans="1:11" s="2" customFormat="1" x14ac:dyDescent="0.3">
      <c r="A9" s="8"/>
      <c r="K9" s="9"/>
    </row>
    <row r="10" spans="1:11" s="2" customFormat="1" x14ac:dyDescent="0.3">
      <c r="A10" s="8"/>
      <c r="K10" s="9"/>
    </row>
    <row r="11" spans="1:11" s="2" customFormat="1" x14ac:dyDescent="0.3">
      <c r="A11" s="8"/>
      <c r="K11" s="9"/>
    </row>
    <row r="12" spans="1:11" s="2" customFormat="1" x14ac:dyDescent="0.3">
      <c r="A12" s="8"/>
      <c r="K12" s="9"/>
    </row>
    <row r="13" spans="1:11" s="2" customFormat="1" x14ac:dyDescent="0.3">
      <c r="A13" s="8"/>
      <c r="K13" s="9"/>
    </row>
    <row r="14" spans="1:11" s="2" customFormat="1" x14ac:dyDescent="0.3">
      <c r="A14" s="8"/>
      <c r="K14" s="9"/>
    </row>
    <row r="15" spans="1:11" s="2" customFormat="1" x14ac:dyDescent="0.3">
      <c r="A15" s="8"/>
      <c r="K15" s="9"/>
    </row>
    <row r="16" spans="1:11" s="2" customFormat="1" x14ac:dyDescent="0.3">
      <c r="A16" s="8"/>
      <c r="K16" s="9"/>
    </row>
    <row r="17" spans="1:11" s="2" customFormat="1" x14ac:dyDescent="0.3">
      <c r="A17" s="8"/>
      <c r="K17" s="9"/>
    </row>
    <row r="18" spans="1:11" s="2" customFormat="1" x14ac:dyDescent="0.3">
      <c r="A18" s="8"/>
      <c r="K18" s="9"/>
    </row>
    <row r="19" spans="1:11" s="2" customFormat="1" x14ac:dyDescent="0.3">
      <c r="A19" s="8"/>
      <c r="K19" s="9"/>
    </row>
    <row r="20" spans="1:11" s="2" customFormat="1" x14ac:dyDescent="0.3">
      <c r="A20" s="8"/>
      <c r="K20" s="9"/>
    </row>
    <row r="21" spans="1:11" s="2" customFormat="1" x14ac:dyDescent="0.3">
      <c r="A21" s="10"/>
      <c r="B21" s="11"/>
      <c r="C21" s="11"/>
      <c r="D21" s="11"/>
      <c r="E21" s="11"/>
      <c r="F21" s="11"/>
      <c r="G21" s="11"/>
      <c r="H21" s="11"/>
      <c r="I21" s="11"/>
      <c r="J21" s="11"/>
      <c r="K21" s="12"/>
    </row>
    <row r="22" spans="1:11" s="2" customFormat="1" x14ac:dyDescent="0.3"/>
    <row r="23" spans="1:11" s="2" customFormat="1" x14ac:dyDescent="0.3"/>
    <row r="24" spans="1:11" s="2" customFormat="1" x14ac:dyDescent="0.3"/>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sConnections">
                <anchor moveWithCells="1">
                  <from>
                    <xdr:col>0</xdr:col>
                    <xdr:colOff>662940</xdr:colOff>
                    <xdr:row>1</xdr:row>
                    <xdr:rowOff>464820</xdr:rowOff>
                  </from>
                  <to>
                    <xdr:col>0</xdr:col>
                    <xdr:colOff>1463040</xdr:colOff>
                    <xdr:row>1</xdr:row>
                    <xdr:rowOff>685800</xdr:rowOff>
                  </to>
                </anchor>
              </controlPr>
            </control>
          </mc:Choice>
        </mc:AlternateContent>
        <mc:AlternateContent xmlns:mc="http://schemas.openxmlformats.org/markup-compatibility/2006">
          <mc:Choice Requires="x14">
            <control shapeId="2050" r:id="rId9" name="Check Box 2">
              <controlPr defaultSize="0" autoFill="0" autoLine="0" autoPict="0" macro="[0]!SlicersConnections">
                <anchor moveWithCells="1">
                  <from>
                    <xdr:col>3</xdr:col>
                    <xdr:colOff>754380</xdr:colOff>
                    <xdr:row>1</xdr:row>
                    <xdr:rowOff>480060</xdr:rowOff>
                  </from>
                  <to>
                    <xdr:col>4</xdr:col>
                    <xdr:colOff>160020</xdr:colOff>
                    <xdr:row>1</xdr:row>
                    <xdr:rowOff>701040</xdr:rowOff>
                  </to>
                </anchor>
              </controlPr>
            </control>
          </mc:Choice>
        </mc:AlternateContent>
        <mc:AlternateContent xmlns:mc="http://schemas.openxmlformats.org/markup-compatibility/2006">
          <mc:Choice Requires="x14">
            <control shapeId="2051" r:id="rId10" name="Check Box 3">
              <controlPr defaultSize="0" autoFill="0" autoLine="0" autoPict="0" macro="[0]!SlicersConnections">
                <anchor moveWithCells="1">
                  <from>
                    <xdr:col>6</xdr:col>
                    <xdr:colOff>868680</xdr:colOff>
                    <xdr:row>1</xdr:row>
                    <xdr:rowOff>480060</xdr:rowOff>
                  </from>
                  <to>
                    <xdr:col>7</xdr:col>
                    <xdr:colOff>388620</xdr:colOff>
                    <xdr:row>1</xdr:row>
                    <xdr:rowOff>701040</xdr:rowOff>
                  </to>
                </anchor>
              </controlPr>
            </control>
          </mc:Choice>
        </mc:AlternateContent>
        <mc:AlternateContent xmlns:mc="http://schemas.openxmlformats.org/markup-compatibility/2006">
          <mc:Choice Requires="x14">
            <control shapeId="2052" r:id="rId11" name="Check Box 4">
              <controlPr defaultSize="0" autoFill="0" autoLine="0" autoPict="0" macro="[0]!SlicersConnections">
                <anchor moveWithCells="1">
                  <from>
                    <xdr:col>9</xdr:col>
                    <xdr:colOff>1097280</xdr:colOff>
                    <xdr:row>1</xdr:row>
                    <xdr:rowOff>480060</xdr:rowOff>
                  </from>
                  <to>
                    <xdr:col>10</xdr:col>
                    <xdr:colOff>609600</xdr:colOff>
                    <xdr:row>1</xdr:row>
                    <xdr:rowOff>701040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9A99D-FE06-4522-804D-6E59C91F7740}">
  <sheetPr codeName="Sheet2"/>
  <dimension ref="A1:I101"/>
  <sheetViews>
    <sheetView workbookViewId="0">
      <selection activeCell="O6" sqref="O6"/>
    </sheetView>
  </sheetViews>
  <sheetFormatPr defaultRowHeight="14.4" x14ac:dyDescent="0.3"/>
  <cols>
    <col min="1" max="1" width="12.6640625" bestFit="1" customWidth="1"/>
    <col min="2" max="2" width="16.21875" bestFit="1" customWidth="1"/>
    <col min="3" max="3" width="12.33203125" bestFit="1" customWidth="1"/>
    <col min="4" max="4" width="16.109375" bestFit="1" customWidth="1"/>
    <col min="5" max="5" width="9.21875" bestFit="1" customWidth="1"/>
    <col min="6" max="6" width="6.88671875" bestFit="1" customWidth="1"/>
    <col min="7" max="7" width="14.109375" bestFit="1" customWidth="1"/>
    <col min="8" max="8" width="12.44140625" bestFit="1" customWidth="1"/>
    <col min="9" max="9" width="20.33203125" bestFit="1" customWidth="1"/>
  </cols>
  <sheetData>
    <row r="1" spans="1:9" ht="15.6" x14ac:dyDescent="0.3">
      <c r="A1" s="13" t="s">
        <v>5</v>
      </c>
      <c r="B1" s="13" t="s">
        <v>6</v>
      </c>
      <c r="C1" s="13" t="s">
        <v>7</v>
      </c>
      <c r="D1" s="13" t="s">
        <v>8</v>
      </c>
      <c r="E1" s="13" t="s">
        <v>0</v>
      </c>
      <c r="F1" s="13" t="s">
        <v>293</v>
      </c>
      <c r="G1" s="13" t="s">
        <v>9</v>
      </c>
      <c r="H1" s="13" t="s">
        <v>294</v>
      </c>
      <c r="I1" s="13" t="s">
        <v>297</v>
      </c>
    </row>
    <row r="2" spans="1:9" x14ac:dyDescent="0.3">
      <c r="A2" s="1" t="s">
        <v>10</v>
      </c>
      <c r="B2" s="1" t="s">
        <v>11</v>
      </c>
      <c r="C2" s="1" t="s">
        <v>2</v>
      </c>
      <c r="D2" s="1" t="s">
        <v>12</v>
      </c>
      <c r="E2" s="1">
        <v>370</v>
      </c>
      <c r="F2" s="1">
        <v>500</v>
      </c>
      <c r="G2" s="1">
        <v>155000</v>
      </c>
      <c r="H2" s="14">
        <f>(E2*100/F2)%</f>
        <v>0.74</v>
      </c>
      <c r="I2" s="14">
        <f>(100%-H2)</f>
        <v>0.26</v>
      </c>
    </row>
    <row r="3" spans="1:9" x14ac:dyDescent="0.3">
      <c r="A3" s="1" t="s">
        <v>13</v>
      </c>
      <c r="B3" s="1" t="s">
        <v>14</v>
      </c>
      <c r="C3" s="1" t="s">
        <v>1</v>
      </c>
      <c r="D3" s="1" t="s">
        <v>15</v>
      </c>
      <c r="E3" s="1">
        <v>312</v>
      </c>
      <c r="F3" s="1">
        <v>500</v>
      </c>
      <c r="G3" s="1">
        <v>24000</v>
      </c>
      <c r="H3" s="14">
        <f t="shared" ref="H3:H66" si="0">(E3*100/F3)%</f>
        <v>0.624</v>
      </c>
      <c r="I3" s="14">
        <f t="shared" ref="I3:I66" si="1">(100%-H3)</f>
        <v>0.376</v>
      </c>
    </row>
    <row r="4" spans="1:9" x14ac:dyDescent="0.3">
      <c r="A4" s="1" t="s">
        <v>16</v>
      </c>
      <c r="B4" s="1" t="s">
        <v>17</v>
      </c>
      <c r="C4" s="1" t="s">
        <v>4</v>
      </c>
      <c r="D4" s="1" t="s">
        <v>18</v>
      </c>
      <c r="E4" s="1">
        <v>347</v>
      </c>
      <c r="F4" s="1">
        <v>500</v>
      </c>
      <c r="G4" s="1">
        <v>28000</v>
      </c>
      <c r="H4" s="14">
        <f t="shared" si="0"/>
        <v>0.69400000000000006</v>
      </c>
      <c r="I4" s="14">
        <f t="shared" si="1"/>
        <v>0.30599999999999994</v>
      </c>
    </row>
    <row r="5" spans="1:9" x14ac:dyDescent="0.3">
      <c r="A5" s="1" t="s">
        <v>19</v>
      </c>
      <c r="B5" s="1" t="s">
        <v>20</v>
      </c>
      <c r="C5" s="1" t="s">
        <v>2</v>
      </c>
      <c r="D5" s="1" t="s">
        <v>21</v>
      </c>
      <c r="E5" s="1">
        <v>347</v>
      </c>
      <c r="F5" s="1">
        <v>500</v>
      </c>
      <c r="G5" s="1">
        <v>175000</v>
      </c>
      <c r="H5" s="14">
        <f t="shared" si="0"/>
        <v>0.69400000000000006</v>
      </c>
      <c r="I5" s="14">
        <f t="shared" si="1"/>
        <v>0.30599999999999994</v>
      </c>
    </row>
    <row r="6" spans="1:9" x14ac:dyDescent="0.3">
      <c r="A6" s="1" t="s">
        <v>22</v>
      </c>
      <c r="B6" s="1" t="s">
        <v>23</v>
      </c>
      <c r="C6" s="1" t="s">
        <v>3</v>
      </c>
      <c r="D6" s="1" t="s">
        <v>24</v>
      </c>
      <c r="E6" s="1">
        <v>305</v>
      </c>
      <c r="F6" s="1">
        <v>500</v>
      </c>
      <c r="G6" s="1">
        <v>31000</v>
      </c>
      <c r="H6" s="14">
        <f t="shared" si="0"/>
        <v>0.61</v>
      </c>
      <c r="I6" s="14">
        <f t="shared" si="1"/>
        <v>0.39</v>
      </c>
    </row>
    <row r="7" spans="1:9" x14ac:dyDescent="0.3">
      <c r="A7" s="1" t="s">
        <v>25</v>
      </c>
      <c r="B7" s="1" t="s">
        <v>26</v>
      </c>
      <c r="C7" s="1" t="s">
        <v>1</v>
      </c>
      <c r="D7" s="1" t="s">
        <v>27</v>
      </c>
      <c r="E7" s="1">
        <v>390</v>
      </c>
      <c r="F7" s="1">
        <v>500</v>
      </c>
      <c r="G7" s="1">
        <v>21000</v>
      </c>
      <c r="H7" s="14">
        <f t="shared" si="0"/>
        <v>0.78</v>
      </c>
      <c r="I7" s="14">
        <f t="shared" si="1"/>
        <v>0.21999999999999997</v>
      </c>
    </row>
    <row r="8" spans="1:9" x14ac:dyDescent="0.3">
      <c r="A8" s="1" t="s">
        <v>28</v>
      </c>
      <c r="B8" s="1" t="s">
        <v>29</v>
      </c>
      <c r="C8" s="1" t="s">
        <v>4</v>
      </c>
      <c r="D8" s="1" t="s">
        <v>30</v>
      </c>
      <c r="E8" s="1">
        <v>420</v>
      </c>
      <c r="F8" s="1">
        <v>500</v>
      </c>
      <c r="G8" s="1">
        <v>19500</v>
      </c>
      <c r="H8" s="14">
        <f t="shared" si="0"/>
        <v>0.84</v>
      </c>
      <c r="I8" s="14">
        <f t="shared" si="1"/>
        <v>0.16000000000000003</v>
      </c>
    </row>
    <row r="9" spans="1:9" x14ac:dyDescent="0.3">
      <c r="A9" s="1" t="s">
        <v>31</v>
      </c>
      <c r="B9" s="1" t="s">
        <v>32</v>
      </c>
      <c r="C9" s="1" t="s">
        <v>3</v>
      </c>
      <c r="D9" s="1" t="s">
        <v>33</v>
      </c>
      <c r="E9" s="1">
        <v>321</v>
      </c>
      <c r="F9" s="1">
        <v>500</v>
      </c>
      <c r="G9" s="1">
        <v>17500</v>
      </c>
      <c r="H9" s="14">
        <f t="shared" si="0"/>
        <v>0.64200000000000002</v>
      </c>
      <c r="I9" s="14">
        <f t="shared" si="1"/>
        <v>0.35799999999999998</v>
      </c>
    </row>
    <row r="10" spans="1:9" x14ac:dyDescent="0.3">
      <c r="A10" s="1" t="s">
        <v>34</v>
      </c>
      <c r="B10" s="1" t="s">
        <v>35</v>
      </c>
      <c r="C10" s="1" t="s">
        <v>2</v>
      </c>
      <c r="D10" s="1" t="s">
        <v>36</v>
      </c>
      <c r="E10" s="1">
        <v>302</v>
      </c>
      <c r="F10" s="1">
        <v>500</v>
      </c>
      <c r="G10" s="1">
        <v>13000</v>
      </c>
      <c r="H10" s="14">
        <f t="shared" si="0"/>
        <v>0.60399999999999998</v>
      </c>
      <c r="I10" s="14">
        <f t="shared" si="1"/>
        <v>0.39600000000000002</v>
      </c>
    </row>
    <row r="11" spans="1:9" x14ac:dyDescent="0.3">
      <c r="A11" s="1" t="s">
        <v>37</v>
      </c>
      <c r="B11" s="1" t="s">
        <v>38</v>
      </c>
      <c r="C11" s="1" t="s">
        <v>1</v>
      </c>
      <c r="D11" s="1" t="s">
        <v>39</v>
      </c>
      <c r="E11" s="1">
        <v>312</v>
      </c>
      <c r="F11" s="1">
        <v>500</v>
      </c>
      <c r="G11" s="1">
        <v>22500</v>
      </c>
      <c r="H11" s="14">
        <f t="shared" si="0"/>
        <v>0.624</v>
      </c>
      <c r="I11" s="14">
        <f t="shared" si="1"/>
        <v>0.376</v>
      </c>
    </row>
    <row r="12" spans="1:9" x14ac:dyDescent="0.3">
      <c r="A12" s="1" t="s">
        <v>40</v>
      </c>
      <c r="B12" s="1" t="s">
        <v>41</v>
      </c>
      <c r="C12" s="1" t="s">
        <v>3</v>
      </c>
      <c r="D12" s="1" t="s">
        <v>42</v>
      </c>
      <c r="E12" s="1">
        <v>352</v>
      </c>
      <c r="F12" s="1">
        <v>500</v>
      </c>
      <c r="G12" s="1">
        <v>20000</v>
      </c>
      <c r="H12" s="14">
        <f t="shared" si="0"/>
        <v>0.70400000000000007</v>
      </c>
      <c r="I12" s="14">
        <f t="shared" si="1"/>
        <v>0.29599999999999993</v>
      </c>
    </row>
    <row r="13" spans="1:9" x14ac:dyDescent="0.3">
      <c r="A13" s="1" t="s">
        <v>43</v>
      </c>
      <c r="B13" s="1" t="s">
        <v>44</v>
      </c>
      <c r="C13" s="1" t="s">
        <v>4</v>
      </c>
      <c r="D13" s="1" t="s">
        <v>45</v>
      </c>
      <c r="E13" s="1">
        <v>410</v>
      </c>
      <c r="F13" s="1">
        <v>500</v>
      </c>
      <c r="G13" s="1">
        <v>48000</v>
      </c>
      <c r="H13" s="14">
        <f t="shared" si="0"/>
        <v>0.82</v>
      </c>
      <c r="I13" s="14">
        <f t="shared" si="1"/>
        <v>0.18000000000000005</v>
      </c>
    </row>
    <row r="14" spans="1:9" x14ac:dyDescent="0.3">
      <c r="A14" s="1" t="s">
        <v>46</v>
      </c>
      <c r="B14" s="1" t="s">
        <v>47</v>
      </c>
      <c r="C14" s="1" t="s">
        <v>2</v>
      </c>
      <c r="D14" s="1" t="s">
        <v>48</v>
      </c>
      <c r="E14" s="1">
        <v>349</v>
      </c>
      <c r="F14" s="1">
        <v>500</v>
      </c>
      <c r="G14" s="1">
        <v>47000</v>
      </c>
      <c r="H14" s="14">
        <f t="shared" si="0"/>
        <v>0.69799999999999995</v>
      </c>
      <c r="I14" s="14">
        <f t="shared" si="1"/>
        <v>0.30200000000000005</v>
      </c>
    </row>
    <row r="15" spans="1:9" x14ac:dyDescent="0.3">
      <c r="A15" s="1" t="s">
        <v>49</v>
      </c>
      <c r="B15" s="1" t="s">
        <v>50</v>
      </c>
      <c r="C15" s="1" t="s">
        <v>1</v>
      </c>
      <c r="D15" s="1" t="s">
        <v>51</v>
      </c>
      <c r="E15" s="1">
        <v>300</v>
      </c>
      <c r="F15" s="1">
        <v>500</v>
      </c>
      <c r="G15" s="1">
        <v>12000</v>
      </c>
      <c r="H15" s="14">
        <f t="shared" si="0"/>
        <v>0.6</v>
      </c>
      <c r="I15" s="14">
        <f t="shared" si="1"/>
        <v>0.4</v>
      </c>
    </row>
    <row r="16" spans="1:9" x14ac:dyDescent="0.3">
      <c r="A16" s="1" t="s">
        <v>52</v>
      </c>
      <c r="B16" s="1" t="s">
        <v>53</v>
      </c>
      <c r="C16" s="1" t="s">
        <v>3</v>
      </c>
      <c r="D16" s="1" t="s">
        <v>54</v>
      </c>
      <c r="E16" s="1">
        <v>365</v>
      </c>
      <c r="F16" s="1">
        <v>500</v>
      </c>
      <c r="G16" s="1">
        <v>19000</v>
      </c>
      <c r="H16" s="14">
        <f t="shared" si="0"/>
        <v>0.73</v>
      </c>
      <c r="I16" s="14">
        <f t="shared" si="1"/>
        <v>0.27</v>
      </c>
    </row>
    <row r="17" spans="1:9" x14ac:dyDescent="0.3">
      <c r="A17" s="1" t="s">
        <v>55</v>
      </c>
      <c r="B17" s="1" t="s">
        <v>56</v>
      </c>
      <c r="C17" s="1" t="s">
        <v>2</v>
      </c>
      <c r="D17" s="1" t="s">
        <v>57</v>
      </c>
      <c r="E17" s="1">
        <v>358</v>
      </c>
      <c r="F17" s="1">
        <v>500</v>
      </c>
      <c r="G17" s="1">
        <v>58000</v>
      </c>
      <c r="H17" s="14">
        <f t="shared" si="0"/>
        <v>0.71599999999999997</v>
      </c>
      <c r="I17" s="14">
        <f t="shared" si="1"/>
        <v>0.28400000000000003</v>
      </c>
    </row>
    <row r="18" spans="1:9" x14ac:dyDescent="0.3">
      <c r="A18" s="1" t="s">
        <v>58</v>
      </c>
      <c r="B18" s="1" t="s">
        <v>59</v>
      </c>
      <c r="C18" s="1" t="s">
        <v>1</v>
      </c>
      <c r="D18" s="1" t="s">
        <v>60</v>
      </c>
      <c r="E18" s="1">
        <v>311</v>
      </c>
      <c r="F18" s="1">
        <v>500</v>
      </c>
      <c r="G18" s="1">
        <v>32000</v>
      </c>
      <c r="H18" s="14">
        <f t="shared" si="0"/>
        <v>0.622</v>
      </c>
      <c r="I18" s="14">
        <f t="shared" si="1"/>
        <v>0.378</v>
      </c>
    </row>
    <row r="19" spans="1:9" x14ac:dyDescent="0.3">
      <c r="A19" s="1" t="s">
        <v>61</v>
      </c>
      <c r="B19" s="1" t="s">
        <v>62</v>
      </c>
      <c r="C19" s="1" t="s">
        <v>4</v>
      </c>
      <c r="D19" s="1" t="s">
        <v>63</v>
      </c>
      <c r="E19" s="1">
        <v>353</v>
      </c>
      <c r="F19" s="1">
        <v>500</v>
      </c>
      <c r="G19" s="1">
        <v>55000</v>
      </c>
      <c r="H19" s="14">
        <f t="shared" si="0"/>
        <v>0.70599999999999996</v>
      </c>
      <c r="I19" s="14">
        <f t="shared" si="1"/>
        <v>0.29400000000000004</v>
      </c>
    </row>
    <row r="20" spans="1:9" x14ac:dyDescent="0.3">
      <c r="A20" s="1" t="s">
        <v>64</v>
      </c>
      <c r="B20" s="1" t="s">
        <v>65</v>
      </c>
      <c r="C20" s="1" t="s">
        <v>3</v>
      </c>
      <c r="D20" s="1" t="s">
        <v>66</v>
      </c>
      <c r="E20" s="1">
        <v>317</v>
      </c>
      <c r="F20" s="1">
        <v>500</v>
      </c>
      <c r="G20" s="1">
        <v>26000</v>
      </c>
      <c r="H20" s="14">
        <f t="shared" si="0"/>
        <v>0.63400000000000001</v>
      </c>
      <c r="I20" s="14">
        <f t="shared" si="1"/>
        <v>0.36599999999999999</v>
      </c>
    </row>
    <row r="21" spans="1:9" x14ac:dyDescent="0.3">
      <c r="A21" s="1" t="s">
        <v>67</v>
      </c>
      <c r="B21" s="1" t="s">
        <v>68</v>
      </c>
      <c r="C21" s="1" t="s">
        <v>2</v>
      </c>
      <c r="D21" s="1" t="s">
        <v>69</v>
      </c>
      <c r="E21" s="1">
        <v>393</v>
      </c>
      <c r="F21" s="1">
        <v>500</v>
      </c>
      <c r="G21" s="1">
        <v>60000</v>
      </c>
      <c r="H21" s="14">
        <f t="shared" si="0"/>
        <v>0.78599999999999992</v>
      </c>
      <c r="I21" s="14">
        <f t="shared" si="1"/>
        <v>0.21400000000000008</v>
      </c>
    </row>
    <row r="22" spans="1:9" x14ac:dyDescent="0.3">
      <c r="A22" s="1" t="s">
        <v>70</v>
      </c>
      <c r="B22" s="1" t="s">
        <v>71</v>
      </c>
      <c r="C22" s="1" t="s">
        <v>1</v>
      </c>
      <c r="D22" s="1" t="s">
        <v>72</v>
      </c>
      <c r="E22" s="1">
        <v>352</v>
      </c>
      <c r="F22" s="1">
        <v>500</v>
      </c>
      <c r="G22" s="1">
        <v>14000</v>
      </c>
      <c r="H22" s="14">
        <f t="shared" si="0"/>
        <v>0.70400000000000007</v>
      </c>
      <c r="I22" s="14">
        <f t="shared" si="1"/>
        <v>0.29599999999999993</v>
      </c>
    </row>
    <row r="23" spans="1:9" x14ac:dyDescent="0.3">
      <c r="A23" s="1" t="s">
        <v>73</v>
      </c>
      <c r="B23" s="1" t="s">
        <v>74</v>
      </c>
      <c r="C23" s="1" t="s">
        <v>4</v>
      </c>
      <c r="D23" s="1" t="s">
        <v>75</v>
      </c>
      <c r="E23" s="1">
        <v>339</v>
      </c>
      <c r="F23" s="1">
        <v>500</v>
      </c>
      <c r="G23" s="1">
        <v>65000</v>
      </c>
      <c r="H23" s="14">
        <f t="shared" si="0"/>
        <v>0.67799999999999994</v>
      </c>
      <c r="I23" s="14">
        <f t="shared" si="1"/>
        <v>0.32200000000000006</v>
      </c>
    </row>
    <row r="24" spans="1:9" x14ac:dyDescent="0.3">
      <c r="A24" s="1" t="s">
        <v>76</v>
      </c>
      <c r="B24" s="1" t="s">
        <v>77</v>
      </c>
      <c r="C24" s="1" t="s">
        <v>3</v>
      </c>
      <c r="D24" s="1" t="s">
        <v>78</v>
      </c>
      <c r="E24" s="1">
        <v>370</v>
      </c>
      <c r="F24" s="1">
        <v>500</v>
      </c>
      <c r="G24" s="1">
        <v>17000</v>
      </c>
      <c r="H24" s="14">
        <f t="shared" si="0"/>
        <v>0.74</v>
      </c>
      <c r="I24" s="14">
        <f t="shared" si="1"/>
        <v>0.26</v>
      </c>
    </row>
    <row r="25" spans="1:9" x14ac:dyDescent="0.3">
      <c r="A25" s="1" t="s">
        <v>79</v>
      </c>
      <c r="B25" s="1" t="s">
        <v>80</v>
      </c>
      <c r="C25" s="1" t="s">
        <v>2</v>
      </c>
      <c r="D25" s="1" t="s">
        <v>81</v>
      </c>
      <c r="E25" s="1">
        <v>302</v>
      </c>
      <c r="F25" s="1">
        <v>500</v>
      </c>
      <c r="G25" s="1">
        <v>9000</v>
      </c>
      <c r="H25" s="14">
        <f t="shared" si="0"/>
        <v>0.60399999999999998</v>
      </c>
      <c r="I25" s="14">
        <f t="shared" si="1"/>
        <v>0.39600000000000002</v>
      </c>
    </row>
    <row r="26" spans="1:9" x14ac:dyDescent="0.3">
      <c r="A26" s="1" t="s">
        <v>82</v>
      </c>
      <c r="B26" s="1" t="s">
        <v>83</v>
      </c>
      <c r="C26" s="1" t="s">
        <v>1</v>
      </c>
      <c r="D26" s="1" t="s">
        <v>84</v>
      </c>
      <c r="E26" s="1">
        <v>335</v>
      </c>
      <c r="F26" s="1">
        <v>500</v>
      </c>
      <c r="G26" s="1">
        <v>30000</v>
      </c>
      <c r="H26" s="14">
        <f t="shared" si="0"/>
        <v>0.67</v>
      </c>
      <c r="I26" s="14">
        <f t="shared" si="1"/>
        <v>0.32999999999999996</v>
      </c>
    </row>
    <row r="27" spans="1:9" x14ac:dyDescent="0.3">
      <c r="A27" s="1" t="s">
        <v>85</v>
      </c>
      <c r="B27" s="1" t="s">
        <v>86</v>
      </c>
      <c r="C27" s="1" t="s">
        <v>4</v>
      </c>
      <c r="D27" s="1" t="s">
        <v>87</v>
      </c>
      <c r="E27" s="1">
        <v>370</v>
      </c>
      <c r="F27" s="1">
        <v>500</v>
      </c>
      <c r="G27" s="1">
        <v>12000</v>
      </c>
      <c r="H27" s="14">
        <f t="shared" si="0"/>
        <v>0.74</v>
      </c>
      <c r="I27" s="14">
        <f t="shared" si="1"/>
        <v>0.26</v>
      </c>
    </row>
    <row r="28" spans="1:9" x14ac:dyDescent="0.3">
      <c r="A28" s="1" t="s">
        <v>88</v>
      </c>
      <c r="B28" s="1" t="s">
        <v>89</v>
      </c>
      <c r="C28" s="1" t="s">
        <v>3</v>
      </c>
      <c r="D28" s="1" t="s">
        <v>90</v>
      </c>
      <c r="E28" s="1">
        <v>384</v>
      </c>
      <c r="F28" s="1">
        <v>500</v>
      </c>
      <c r="G28" s="1">
        <v>15000</v>
      </c>
      <c r="H28" s="14">
        <f t="shared" si="0"/>
        <v>0.76800000000000002</v>
      </c>
      <c r="I28" s="14">
        <f t="shared" si="1"/>
        <v>0.23199999999999998</v>
      </c>
    </row>
    <row r="29" spans="1:9" x14ac:dyDescent="0.3">
      <c r="A29" s="1" t="s">
        <v>91</v>
      </c>
      <c r="B29" s="1" t="s">
        <v>92</v>
      </c>
      <c r="C29" s="1" t="s">
        <v>2</v>
      </c>
      <c r="D29" s="1" t="s">
        <v>93</v>
      </c>
      <c r="E29" s="1">
        <v>343</v>
      </c>
      <c r="F29" s="1">
        <v>500</v>
      </c>
      <c r="G29" s="1">
        <v>8000</v>
      </c>
      <c r="H29" s="14">
        <f t="shared" si="0"/>
        <v>0.68599999999999994</v>
      </c>
      <c r="I29" s="14">
        <f t="shared" si="1"/>
        <v>0.31400000000000006</v>
      </c>
    </row>
    <row r="30" spans="1:9" x14ac:dyDescent="0.3">
      <c r="A30" s="1" t="s">
        <v>94</v>
      </c>
      <c r="B30" s="1" t="s">
        <v>95</v>
      </c>
      <c r="C30" s="1" t="s">
        <v>1</v>
      </c>
      <c r="D30" s="1" t="s">
        <v>96</v>
      </c>
      <c r="E30" s="1">
        <v>388</v>
      </c>
      <c r="F30" s="1">
        <v>500</v>
      </c>
      <c r="G30" s="1">
        <v>13000</v>
      </c>
      <c r="H30" s="14">
        <f t="shared" si="0"/>
        <v>0.77599999999999991</v>
      </c>
      <c r="I30" s="14">
        <f t="shared" si="1"/>
        <v>0.22400000000000009</v>
      </c>
    </row>
    <row r="31" spans="1:9" x14ac:dyDescent="0.3">
      <c r="A31" s="1" t="s">
        <v>97</v>
      </c>
      <c r="B31" s="1" t="s">
        <v>98</v>
      </c>
      <c r="C31" s="1" t="s">
        <v>4</v>
      </c>
      <c r="D31" s="1" t="s">
        <v>99</v>
      </c>
      <c r="E31" s="1">
        <v>417</v>
      </c>
      <c r="F31" s="1">
        <v>500</v>
      </c>
      <c r="G31" s="1">
        <v>40000</v>
      </c>
      <c r="H31" s="14">
        <f t="shared" si="0"/>
        <v>0.83400000000000007</v>
      </c>
      <c r="I31" s="14">
        <f t="shared" si="1"/>
        <v>0.16599999999999993</v>
      </c>
    </row>
    <row r="32" spans="1:9" x14ac:dyDescent="0.3">
      <c r="A32" s="1" t="s">
        <v>100</v>
      </c>
      <c r="B32" s="1" t="s">
        <v>101</v>
      </c>
      <c r="C32" s="1" t="s">
        <v>3</v>
      </c>
      <c r="D32" s="1" t="s">
        <v>102</v>
      </c>
      <c r="E32" s="1">
        <v>381</v>
      </c>
      <c r="F32" s="1">
        <v>500</v>
      </c>
      <c r="G32" s="1">
        <v>11000</v>
      </c>
      <c r="H32" s="14">
        <f t="shared" si="0"/>
        <v>0.76200000000000001</v>
      </c>
      <c r="I32" s="14">
        <f t="shared" si="1"/>
        <v>0.23799999999999999</v>
      </c>
    </row>
    <row r="33" spans="1:9" x14ac:dyDescent="0.3">
      <c r="A33" s="1" t="s">
        <v>103</v>
      </c>
      <c r="B33" s="1" t="s">
        <v>104</v>
      </c>
      <c r="C33" s="1" t="s">
        <v>2</v>
      </c>
      <c r="D33" s="1" t="s">
        <v>105</v>
      </c>
      <c r="E33" s="1">
        <v>398</v>
      </c>
      <c r="F33" s="1">
        <v>500</v>
      </c>
      <c r="G33" s="1">
        <v>10000</v>
      </c>
      <c r="H33" s="14">
        <f t="shared" si="0"/>
        <v>0.79599999999999993</v>
      </c>
      <c r="I33" s="14">
        <f t="shared" si="1"/>
        <v>0.20400000000000007</v>
      </c>
    </row>
    <row r="34" spans="1:9" x14ac:dyDescent="0.3">
      <c r="A34" s="1" t="s">
        <v>106</v>
      </c>
      <c r="B34" s="1" t="s">
        <v>107</v>
      </c>
      <c r="C34" s="1" t="s">
        <v>1</v>
      </c>
      <c r="D34" s="1" t="s">
        <v>108</v>
      </c>
      <c r="E34" s="1">
        <v>413</v>
      </c>
      <c r="F34" s="1">
        <v>500</v>
      </c>
      <c r="G34" s="1">
        <v>19000</v>
      </c>
      <c r="H34" s="14">
        <f t="shared" si="0"/>
        <v>0.82599999999999996</v>
      </c>
      <c r="I34" s="14">
        <f t="shared" si="1"/>
        <v>0.17400000000000004</v>
      </c>
    </row>
    <row r="35" spans="1:9" x14ac:dyDescent="0.3">
      <c r="A35" s="1" t="s">
        <v>109</v>
      </c>
      <c r="B35" s="1" t="s">
        <v>110</v>
      </c>
      <c r="C35" s="1" t="s">
        <v>4</v>
      </c>
      <c r="D35" s="1" t="s">
        <v>111</v>
      </c>
      <c r="E35" s="1">
        <v>361</v>
      </c>
      <c r="F35" s="1">
        <v>500</v>
      </c>
      <c r="G35" s="1">
        <v>21000</v>
      </c>
      <c r="H35" s="14">
        <f t="shared" si="0"/>
        <v>0.72199999999999998</v>
      </c>
      <c r="I35" s="14">
        <f t="shared" si="1"/>
        <v>0.27800000000000002</v>
      </c>
    </row>
    <row r="36" spans="1:9" x14ac:dyDescent="0.3">
      <c r="A36" s="1" t="s">
        <v>112</v>
      </c>
      <c r="B36" s="1" t="s">
        <v>113</v>
      </c>
      <c r="C36" s="1" t="s">
        <v>3</v>
      </c>
      <c r="D36" s="1" t="s">
        <v>114</v>
      </c>
      <c r="E36" s="1">
        <v>312</v>
      </c>
      <c r="F36" s="1">
        <v>500</v>
      </c>
      <c r="G36" s="1">
        <v>8000</v>
      </c>
      <c r="H36" s="14">
        <f t="shared" si="0"/>
        <v>0.624</v>
      </c>
      <c r="I36" s="14">
        <f t="shared" si="1"/>
        <v>0.376</v>
      </c>
    </row>
    <row r="37" spans="1:9" x14ac:dyDescent="0.3">
      <c r="A37" s="1" t="s">
        <v>115</v>
      </c>
      <c r="B37" s="1" t="s">
        <v>116</v>
      </c>
      <c r="C37" s="1" t="s">
        <v>2</v>
      </c>
      <c r="D37" s="1" t="s">
        <v>117</v>
      </c>
      <c r="E37" s="1">
        <v>399</v>
      </c>
      <c r="F37" s="1">
        <v>500</v>
      </c>
      <c r="G37" s="1">
        <v>95000</v>
      </c>
      <c r="H37" s="14">
        <f t="shared" si="0"/>
        <v>0.79799999999999993</v>
      </c>
      <c r="I37" s="14">
        <f t="shared" si="1"/>
        <v>0.20200000000000007</v>
      </c>
    </row>
    <row r="38" spans="1:9" x14ac:dyDescent="0.3">
      <c r="A38" s="1" t="s">
        <v>118</v>
      </c>
      <c r="B38" s="1" t="s">
        <v>119</v>
      </c>
      <c r="C38" s="1" t="s">
        <v>1</v>
      </c>
      <c r="D38" s="1" t="s">
        <v>120</v>
      </c>
      <c r="E38" s="1">
        <v>399</v>
      </c>
      <c r="F38" s="1">
        <v>500</v>
      </c>
      <c r="G38" s="1">
        <v>18000</v>
      </c>
      <c r="H38" s="14">
        <f t="shared" si="0"/>
        <v>0.79799999999999993</v>
      </c>
      <c r="I38" s="14">
        <f t="shared" si="1"/>
        <v>0.20200000000000007</v>
      </c>
    </row>
    <row r="39" spans="1:9" x14ac:dyDescent="0.3">
      <c r="A39" s="1" t="s">
        <v>121</v>
      </c>
      <c r="B39" s="1" t="s">
        <v>122</v>
      </c>
      <c r="C39" s="1" t="s">
        <v>4</v>
      </c>
      <c r="D39" s="1" t="s">
        <v>123</v>
      </c>
      <c r="E39" s="1">
        <v>392</v>
      </c>
      <c r="F39" s="1">
        <v>500</v>
      </c>
      <c r="G39" s="1">
        <v>17000</v>
      </c>
      <c r="H39" s="14">
        <f t="shared" si="0"/>
        <v>0.78400000000000003</v>
      </c>
      <c r="I39" s="14">
        <f t="shared" si="1"/>
        <v>0.21599999999999997</v>
      </c>
    </row>
    <row r="40" spans="1:9" x14ac:dyDescent="0.3">
      <c r="A40" s="1" t="s">
        <v>124</v>
      </c>
      <c r="B40" s="1" t="s">
        <v>125</v>
      </c>
      <c r="C40" s="1" t="s">
        <v>3</v>
      </c>
      <c r="D40" s="1" t="s">
        <v>126</v>
      </c>
      <c r="E40" s="1">
        <v>350</v>
      </c>
      <c r="F40" s="1">
        <v>500</v>
      </c>
      <c r="G40" s="1">
        <v>12000</v>
      </c>
      <c r="H40" s="14">
        <f t="shared" si="0"/>
        <v>0.7</v>
      </c>
      <c r="I40" s="14">
        <f t="shared" si="1"/>
        <v>0.30000000000000004</v>
      </c>
    </row>
    <row r="41" spans="1:9" x14ac:dyDescent="0.3">
      <c r="A41" s="1" t="s">
        <v>127</v>
      </c>
      <c r="B41" s="1" t="s">
        <v>128</v>
      </c>
      <c r="C41" s="1" t="s">
        <v>2</v>
      </c>
      <c r="D41" s="1" t="s">
        <v>129</v>
      </c>
      <c r="E41" s="1">
        <v>361</v>
      </c>
      <c r="F41" s="1">
        <v>500</v>
      </c>
      <c r="G41" s="1">
        <v>85000</v>
      </c>
      <c r="H41" s="14">
        <f t="shared" si="0"/>
        <v>0.72199999999999998</v>
      </c>
      <c r="I41" s="14">
        <f t="shared" si="1"/>
        <v>0.27800000000000002</v>
      </c>
    </row>
    <row r="42" spans="1:9" x14ac:dyDescent="0.3">
      <c r="A42" s="1" t="s">
        <v>130</v>
      </c>
      <c r="B42" s="1" t="s">
        <v>131</v>
      </c>
      <c r="C42" s="1" t="s">
        <v>1</v>
      </c>
      <c r="D42" s="1" t="s">
        <v>132</v>
      </c>
      <c r="E42" s="1">
        <v>383</v>
      </c>
      <c r="F42" s="1">
        <v>500</v>
      </c>
      <c r="G42" s="1">
        <v>10000</v>
      </c>
      <c r="H42" s="14">
        <f t="shared" si="0"/>
        <v>0.7659999999999999</v>
      </c>
      <c r="I42" s="14">
        <f t="shared" si="1"/>
        <v>0.2340000000000001</v>
      </c>
    </row>
    <row r="43" spans="1:9" x14ac:dyDescent="0.3">
      <c r="A43" s="1" t="s">
        <v>133</v>
      </c>
      <c r="B43" s="1" t="s">
        <v>134</v>
      </c>
      <c r="C43" s="1" t="s">
        <v>4</v>
      </c>
      <c r="D43" s="1" t="s">
        <v>135</v>
      </c>
      <c r="E43" s="1">
        <v>373</v>
      </c>
      <c r="F43" s="1">
        <v>500</v>
      </c>
      <c r="G43" s="1">
        <v>23000</v>
      </c>
      <c r="H43" s="14">
        <f t="shared" si="0"/>
        <v>0.746</v>
      </c>
      <c r="I43" s="14">
        <f t="shared" si="1"/>
        <v>0.254</v>
      </c>
    </row>
    <row r="44" spans="1:9" x14ac:dyDescent="0.3">
      <c r="A44" s="1" t="s">
        <v>136</v>
      </c>
      <c r="B44" s="1" t="s">
        <v>137</v>
      </c>
      <c r="C44" s="1" t="s">
        <v>3</v>
      </c>
      <c r="D44" s="1" t="s">
        <v>138</v>
      </c>
      <c r="E44" s="1">
        <v>360</v>
      </c>
      <c r="F44" s="1">
        <v>500</v>
      </c>
      <c r="G44" s="1">
        <v>15000</v>
      </c>
      <c r="H44" s="14">
        <f t="shared" si="0"/>
        <v>0.72</v>
      </c>
      <c r="I44" s="14">
        <f t="shared" si="1"/>
        <v>0.28000000000000003</v>
      </c>
    </row>
    <row r="45" spans="1:9" x14ac:dyDescent="0.3">
      <c r="A45" s="1" t="s">
        <v>139</v>
      </c>
      <c r="B45" s="1" t="s">
        <v>140</v>
      </c>
      <c r="C45" s="1" t="s">
        <v>2</v>
      </c>
      <c r="D45" s="1" t="s">
        <v>141</v>
      </c>
      <c r="E45" s="1">
        <v>307</v>
      </c>
      <c r="F45" s="1">
        <v>500</v>
      </c>
      <c r="G45" s="1">
        <v>27000</v>
      </c>
      <c r="H45" s="14">
        <f t="shared" si="0"/>
        <v>0.61399999999999999</v>
      </c>
      <c r="I45" s="14">
        <f t="shared" si="1"/>
        <v>0.38600000000000001</v>
      </c>
    </row>
    <row r="46" spans="1:9" x14ac:dyDescent="0.3">
      <c r="A46" s="1" t="s">
        <v>142</v>
      </c>
      <c r="B46" s="1" t="s">
        <v>143</v>
      </c>
      <c r="C46" s="1" t="s">
        <v>1</v>
      </c>
      <c r="D46" s="1" t="s">
        <v>144</v>
      </c>
      <c r="E46" s="1">
        <v>347</v>
      </c>
      <c r="F46" s="1">
        <v>500</v>
      </c>
      <c r="G46" s="1">
        <v>35000</v>
      </c>
      <c r="H46" s="14">
        <f t="shared" si="0"/>
        <v>0.69400000000000006</v>
      </c>
      <c r="I46" s="14">
        <f t="shared" si="1"/>
        <v>0.30599999999999994</v>
      </c>
    </row>
    <row r="47" spans="1:9" x14ac:dyDescent="0.3">
      <c r="A47" s="1" t="s">
        <v>145</v>
      </c>
      <c r="B47" s="1" t="s">
        <v>146</v>
      </c>
      <c r="C47" s="1" t="s">
        <v>4</v>
      </c>
      <c r="D47" s="1" t="s">
        <v>147</v>
      </c>
      <c r="E47" s="1">
        <v>325</v>
      </c>
      <c r="F47" s="1">
        <v>500</v>
      </c>
      <c r="G47" s="1">
        <v>60000</v>
      </c>
      <c r="H47" s="14">
        <f t="shared" si="0"/>
        <v>0.65</v>
      </c>
      <c r="I47" s="14">
        <f t="shared" si="1"/>
        <v>0.35</v>
      </c>
    </row>
    <row r="48" spans="1:9" x14ac:dyDescent="0.3">
      <c r="A48" s="1" t="s">
        <v>148</v>
      </c>
      <c r="B48" s="1" t="s">
        <v>149</v>
      </c>
      <c r="C48" s="1" t="s">
        <v>3</v>
      </c>
      <c r="D48" s="1" t="s">
        <v>150</v>
      </c>
      <c r="E48" s="1">
        <v>360</v>
      </c>
      <c r="F48" s="1">
        <v>500</v>
      </c>
      <c r="G48" s="1">
        <v>25000</v>
      </c>
      <c r="H48" s="14">
        <f t="shared" si="0"/>
        <v>0.72</v>
      </c>
      <c r="I48" s="14">
        <f t="shared" si="1"/>
        <v>0.28000000000000003</v>
      </c>
    </row>
    <row r="49" spans="1:9" x14ac:dyDescent="0.3">
      <c r="A49" s="1" t="s">
        <v>151</v>
      </c>
      <c r="B49" s="1" t="s">
        <v>152</v>
      </c>
      <c r="C49" s="1" t="s">
        <v>2</v>
      </c>
      <c r="D49" s="1" t="s">
        <v>153</v>
      </c>
      <c r="E49" s="1">
        <v>309</v>
      </c>
      <c r="F49" s="1">
        <v>500</v>
      </c>
      <c r="G49" s="1">
        <v>11000</v>
      </c>
      <c r="H49" s="14">
        <f t="shared" si="0"/>
        <v>0.61799999999999999</v>
      </c>
      <c r="I49" s="14">
        <f t="shared" si="1"/>
        <v>0.38200000000000001</v>
      </c>
    </row>
    <row r="50" spans="1:9" x14ac:dyDescent="0.3">
      <c r="A50" s="1" t="s">
        <v>154</v>
      </c>
      <c r="B50" s="1" t="s">
        <v>155</v>
      </c>
      <c r="C50" s="1" t="s">
        <v>1</v>
      </c>
      <c r="D50" s="1" t="s">
        <v>156</v>
      </c>
      <c r="E50" s="1">
        <v>355</v>
      </c>
      <c r="F50" s="1">
        <v>500</v>
      </c>
      <c r="G50" s="1">
        <v>8000</v>
      </c>
      <c r="H50" s="14">
        <f t="shared" si="0"/>
        <v>0.71</v>
      </c>
      <c r="I50" s="14">
        <f t="shared" si="1"/>
        <v>0.29000000000000004</v>
      </c>
    </row>
    <row r="51" spans="1:9" x14ac:dyDescent="0.3">
      <c r="A51" s="1" t="s">
        <v>157</v>
      </c>
      <c r="B51" s="1" t="s">
        <v>158</v>
      </c>
      <c r="C51" s="1" t="s">
        <v>4</v>
      </c>
      <c r="D51" s="1" t="s">
        <v>159</v>
      </c>
      <c r="E51" s="1">
        <v>322</v>
      </c>
      <c r="F51" s="1">
        <v>500</v>
      </c>
      <c r="G51" s="1">
        <v>45000</v>
      </c>
      <c r="H51" s="14">
        <f t="shared" si="0"/>
        <v>0.64400000000000002</v>
      </c>
      <c r="I51" s="14">
        <f t="shared" si="1"/>
        <v>0.35599999999999998</v>
      </c>
    </row>
    <row r="52" spans="1:9" x14ac:dyDescent="0.3">
      <c r="A52" s="1" t="s">
        <v>160</v>
      </c>
      <c r="B52" s="1" t="s">
        <v>161</v>
      </c>
      <c r="C52" s="1" t="s">
        <v>3</v>
      </c>
      <c r="D52" s="1" t="s">
        <v>162</v>
      </c>
      <c r="E52" s="1">
        <v>349</v>
      </c>
      <c r="F52" s="1">
        <v>500</v>
      </c>
      <c r="G52" s="1">
        <v>13000</v>
      </c>
      <c r="H52" s="14">
        <f t="shared" si="0"/>
        <v>0.69799999999999995</v>
      </c>
      <c r="I52" s="14">
        <f t="shared" si="1"/>
        <v>0.30200000000000005</v>
      </c>
    </row>
    <row r="53" spans="1:9" x14ac:dyDescent="0.3">
      <c r="A53" s="1" t="s">
        <v>163</v>
      </c>
      <c r="B53" s="1" t="s">
        <v>164</v>
      </c>
      <c r="C53" s="1" t="s">
        <v>2</v>
      </c>
      <c r="D53" s="1" t="s">
        <v>165</v>
      </c>
      <c r="E53" s="1">
        <v>356</v>
      </c>
      <c r="F53" s="1">
        <v>500</v>
      </c>
      <c r="G53" s="1">
        <v>70000</v>
      </c>
      <c r="H53" s="14">
        <f t="shared" si="0"/>
        <v>0.71200000000000008</v>
      </c>
      <c r="I53" s="14">
        <f t="shared" si="1"/>
        <v>0.28799999999999992</v>
      </c>
    </row>
    <row r="54" spans="1:9" x14ac:dyDescent="0.3">
      <c r="A54" s="1" t="s">
        <v>166</v>
      </c>
      <c r="B54" s="1" t="s">
        <v>167</v>
      </c>
      <c r="C54" s="1" t="s">
        <v>1</v>
      </c>
      <c r="D54" s="1" t="s">
        <v>60</v>
      </c>
      <c r="E54" s="1">
        <v>322</v>
      </c>
      <c r="F54" s="1">
        <v>500</v>
      </c>
      <c r="G54" s="1">
        <v>29000</v>
      </c>
      <c r="H54" s="14">
        <f t="shared" si="0"/>
        <v>0.64400000000000002</v>
      </c>
      <c r="I54" s="14">
        <f t="shared" si="1"/>
        <v>0.35599999999999998</v>
      </c>
    </row>
    <row r="55" spans="1:9" x14ac:dyDescent="0.3">
      <c r="A55" s="1" t="s">
        <v>168</v>
      </c>
      <c r="B55" s="1" t="s">
        <v>169</v>
      </c>
      <c r="C55" s="1" t="s">
        <v>4</v>
      </c>
      <c r="D55" s="1" t="s">
        <v>170</v>
      </c>
      <c r="E55" s="1">
        <v>388</v>
      </c>
      <c r="F55" s="1">
        <v>500</v>
      </c>
      <c r="G55" s="1">
        <v>19000</v>
      </c>
      <c r="H55" s="14">
        <f t="shared" si="0"/>
        <v>0.77599999999999991</v>
      </c>
      <c r="I55" s="14">
        <f t="shared" si="1"/>
        <v>0.22400000000000009</v>
      </c>
    </row>
    <row r="56" spans="1:9" x14ac:dyDescent="0.3">
      <c r="A56" s="1" t="s">
        <v>171</v>
      </c>
      <c r="B56" s="1" t="s">
        <v>172</v>
      </c>
      <c r="C56" s="1" t="s">
        <v>3</v>
      </c>
      <c r="D56" s="1" t="s">
        <v>173</v>
      </c>
      <c r="E56" s="1">
        <v>367</v>
      </c>
      <c r="F56" s="1">
        <v>500</v>
      </c>
      <c r="G56" s="1">
        <v>9000</v>
      </c>
      <c r="H56" s="14">
        <f t="shared" si="0"/>
        <v>0.7340000000000001</v>
      </c>
      <c r="I56" s="14">
        <f t="shared" si="1"/>
        <v>0.2659999999999999</v>
      </c>
    </row>
    <row r="57" spans="1:9" x14ac:dyDescent="0.3">
      <c r="A57" s="1" t="s">
        <v>174</v>
      </c>
      <c r="B57" s="1" t="s">
        <v>175</v>
      </c>
      <c r="C57" s="1" t="s">
        <v>2</v>
      </c>
      <c r="D57" s="1" t="s">
        <v>176</v>
      </c>
      <c r="E57" s="1">
        <v>396</v>
      </c>
      <c r="F57" s="1">
        <v>500</v>
      </c>
      <c r="G57" s="1">
        <v>75000</v>
      </c>
      <c r="H57" s="14">
        <f t="shared" si="0"/>
        <v>0.79200000000000004</v>
      </c>
      <c r="I57" s="14">
        <f t="shared" si="1"/>
        <v>0.20799999999999996</v>
      </c>
    </row>
    <row r="58" spans="1:9" x14ac:dyDescent="0.3">
      <c r="A58" s="1" t="s">
        <v>177</v>
      </c>
      <c r="B58" s="1" t="s">
        <v>178</v>
      </c>
      <c r="C58" s="1" t="s">
        <v>1</v>
      </c>
      <c r="D58" s="1" t="s">
        <v>179</v>
      </c>
      <c r="E58" s="1">
        <v>372</v>
      </c>
      <c r="F58" s="1">
        <v>500</v>
      </c>
      <c r="G58" s="1">
        <v>17000</v>
      </c>
      <c r="H58" s="14">
        <f t="shared" si="0"/>
        <v>0.74400000000000011</v>
      </c>
      <c r="I58" s="14">
        <f t="shared" si="1"/>
        <v>0.25599999999999989</v>
      </c>
    </row>
    <row r="59" spans="1:9" x14ac:dyDescent="0.3">
      <c r="A59" s="1" t="s">
        <v>180</v>
      </c>
      <c r="B59" s="1" t="s">
        <v>181</v>
      </c>
      <c r="C59" s="1" t="s">
        <v>4</v>
      </c>
      <c r="D59" s="1" t="s">
        <v>182</v>
      </c>
      <c r="E59" s="1">
        <v>394</v>
      </c>
      <c r="F59" s="1">
        <v>500</v>
      </c>
      <c r="G59" s="1">
        <v>8000</v>
      </c>
      <c r="H59" s="14">
        <f t="shared" si="0"/>
        <v>0.78799999999999992</v>
      </c>
      <c r="I59" s="14">
        <f t="shared" si="1"/>
        <v>0.21200000000000008</v>
      </c>
    </row>
    <row r="60" spans="1:9" x14ac:dyDescent="0.3">
      <c r="A60" s="1" t="s">
        <v>183</v>
      </c>
      <c r="B60" s="1" t="s">
        <v>184</v>
      </c>
      <c r="C60" s="1" t="s">
        <v>3</v>
      </c>
      <c r="D60" s="1" t="s">
        <v>185</v>
      </c>
      <c r="E60" s="1">
        <v>370</v>
      </c>
      <c r="F60" s="1">
        <v>500</v>
      </c>
      <c r="G60" s="1">
        <v>14000</v>
      </c>
      <c r="H60" s="14">
        <f t="shared" si="0"/>
        <v>0.74</v>
      </c>
      <c r="I60" s="14">
        <f t="shared" si="1"/>
        <v>0.26</v>
      </c>
    </row>
    <row r="61" spans="1:9" x14ac:dyDescent="0.3">
      <c r="A61" s="1" t="s">
        <v>186</v>
      </c>
      <c r="B61" s="1" t="s">
        <v>187</v>
      </c>
      <c r="C61" s="1" t="s">
        <v>2</v>
      </c>
      <c r="D61" s="1" t="s">
        <v>188</v>
      </c>
      <c r="E61" s="1">
        <v>381</v>
      </c>
      <c r="F61" s="1">
        <v>500</v>
      </c>
      <c r="G61" s="1">
        <v>13000</v>
      </c>
      <c r="H61" s="14">
        <f t="shared" si="0"/>
        <v>0.76200000000000001</v>
      </c>
      <c r="I61" s="14">
        <f t="shared" si="1"/>
        <v>0.23799999999999999</v>
      </c>
    </row>
    <row r="62" spans="1:9" x14ac:dyDescent="0.3">
      <c r="A62" s="1" t="s">
        <v>189</v>
      </c>
      <c r="B62" s="1" t="s">
        <v>190</v>
      </c>
      <c r="C62" s="1" t="s">
        <v>1</v>
      </c>
      <c r="D62" s="1" t="s">
        <v>191</v>
      </c>
      <c r="E62" s="1">
        <v>394</v>
      </c>
      <c r="F62" s="1">
        <v>500</v>
      </c>
      <c r="G62" s="1">
        <v>20000</v>
      </c>
      <c r="H62" s="14">
        <f t="shared" si="0"/>
        <v>0.78799999999999992</v>
      </c>
      <c r="I62" s="14">
        <f t="shared" si="1"/>
        <v>0.21200000000000008</v>
      </c>
    </row>
    <row r="63" spans="1:9" x14ac:dyDescent="0.3">
      <c r="A63" s="1" t="s">
        <v>192</v>
      </c>
      <c r="B63" s="1" t="s">
        <v>193</v>
      </c>
      <c r="C63" s="1" t="s">
        <v>4</v>
      </c>
      <c r="D63" s="1" t="s">
        <v>194</v>
      </c>
      <c r="E63" s="1">
        <v>383</v>
      </c>
      <c r="F63" s="1">
        <v>500</v>
      </c>
      <c r="G63" s="1">
        <v>10000</v>
      </c>
      <c r="H63" s="14">
        <f t="shared" si="0"/>
        <v>0.7659999999999999</v>
      </c>
      <c r="I63" s="14">
        <f t="shared" si="1"/>
        <v>0.2340000000000001</v>
      </c>
    </row>
    <row r="64" spans="1:9" x14ac:dyDescent="0.3">
      <c r="A64" s="1" t="s">
        <v>195</v>
      </c>
      <c r="B64" s="1" t="s">
        <v>196</v>
      </c>
      <c r="C64" s="1" t="s">
        <v>3</v>
      </c>
      <c r="D64" s="1" t="s">
        <v>197</v>
      </c>
      <c r="E64" s="1">
        <v>367</v>
      </c>
      <c r="F64" s="1">
        <v>500</v>
      </c>
      <c r="G64" s="1">
        <v>7000</v>
      </c>
      <c r="H64" s="14">
        <f t="shared" si="0"/>
        <v>0.7340000000000001</v>
      </c>
      <c r="I64" s="14">
        <f t="shared" si="1"/>
        <v>0.2659999999999999</v>
      </c>
    </row>
    <row r="65" spans="1:9" x14ac:dyDescent="0.3">
      <c r="A65" s="1" t="s">
        <v>198</v>
      </c>
      <c r="B65" s="1" t="s">
        <v>199</v>
      </c>
      <c r="C65" s="1" t="s">
        <v>2</v>
      </c>
      <c r="D65" s="1" t="s">
        <v>200</v>
      </c>
      <c r="E65" s="1">
        <v>417</v>
      </c>
      <c r="F65" s="1">
        <v>500</v>
      </c>
      <c r="G65" s="1">
        <v>95000</v>
      </c>
      <c r="H65" s="14">
        <f t="shared" si="0"/>
        <v>0.83400000000000007</v>
      </c>
      <c r="I65" s="14">
        <f t="shared" si="1"/>
        <v>0.16599999999999993</v>
      </c>
    </row>
    <row r="66" spans="1:9" x14ac:dyDescent="0.3">
      <c r="A66" s="1" t="s">
        <v>201</v>
      </c>
      <c r="B66" s="1" t="s">
        <v>202</v>
      </c>
      <c r="C66" s="1" t="s">
        <v>1</v>
      </c>
      <c r="D66" s="1" t="s">
        <v>203</v>
      </c>
      <c r="E66" s="1">
        <v>357</v>
      </c>
      <c r="F66" s="1">
        <v>500</v>
      </c>
      <c r="G66" s="1">
        <v>27000</v>
      </c>
      <c r="H66" s="14">
        <f t="shared" si="0"/>
        <v>0.71400000000000008</v>
      </c>
      <c r="I66" s="14">
        <f t="shared" si="1"/>
        <v>0.28599999999999992</v>
      </c>
    </row>
    <row r="67" spans="1:9" x14ac:dyDescent="0.3">
      <c r="A67" s="1" t="s">
        <v>204</v>
      </c>
      <c r="B67" s="1" t="s">
        <v>205</v>
      </c>
      <c r="C67" s="1" t="s">
        <v>4</v>
      </c>
      <c r="D67" s="1" t="s">
        <v>206</v>
      </c>
      <c r="E67" s="1">
        <v>374</v>
      </c>
      <c r="F67" s="1">
        <v>500</v>
      </c>
      <c r="G67" s="1">
        <v>38000</v>
      </c>
      <c r="H67" s="14">
        <f t="shared" ref="H67:H101" si="2">(E67*100/F67)%</f>
        <v>0.748</v>
      </c>
      <c r="I67" s="14">
        <f t="shared" ref="I67:I101" si="3">(100%-H67)</f>
        <v>0.252</v>
      </c>
    </row>
    <row r="68" spans="1:9" x14ac:dyDescent="0.3">
      <c r="A68" s="1" t="s">
        <v>207</v>
      </c>
      <c r="B68" s="1" t="s">
        <v>208</v>
      </c>
      <c r="C68" s="1" t="s">
        <v>3</v>
      </c>
      <c r="D68" s="1" t="s">
        <v>209</v>
      </c>
      <c r="E68" s="1">
        <v>344</v>
      </c>
      <c r="F68" s="1">
        <v>500</v>
      </c>
      <c r="G68" s="1">
        <v>12000</v>
      </c>
      <c r="H68" s="14">
        <f t="shared" si="2"/>
        <v>0.68799999999999994</v>
      </c>
      <c r="I68" s="14">
        <f t="shared" si="3"/>
        <v>0.31200000000000006</v>
      </c>
    </row>
    <row r="69" spans="1:9" x14ac:dyDescent="0.3">
      <c r="A69" s="1" t="s">
        <v>210</v>
      </c>
      <c r="B69" s="1" t="s">
        <v>211</v>
      </c>
      <c r="C69" s="1" t="s">
        <v>2</v>
      </c>
      <c r="D69" s="1" t="s">
        <v>212</v>
      </c>
      <c r="E69" s="1">
        <v>368</v>
      </c>
      <c r="F69" s="1">
        <v>500</v>
      </c>
      <c r="G69" s="1">
        <v>120000</v>
      </c>
      <c r="H69" s="14">
        <f t="shared" si="2"/>
        <v>0.73599999999999999</v>
      </c>
      <c r="I69" s="14">
        <f t="shared" si="3"/>
        <v>0.26400000000000001</v>
      </c>
    </row>
    <row r="70" spans="1:9" x14ac:dyDescent="0.3">
      <c r="A70" s="1" t="s">
        <v>213</v>
      </c>
      <c r="B70" s="1" t="s">
        <v>214</v>
      </c>
      <c r="C70" s="1" t="s">
        <v>1</v>
      </c>
      <c r="D70" s="1" t="s">
        <v>215</v>
      </c>
      <c r="E70" s="1">
        <v>348</v>
      </c>
      <c r="F70" s="1">
        <v>500</v>
      </c>
      <c r="G70" s="1">
        <v>5000</v>
      </c>
      <c r="H70" s="14">
        <f t="shared" si="2"/>
        <v>0.69599999999999995</v>
      </c>
      <c r="I70" s="14">
        <f t="shared" si="3"/>
        <v>0.30400000000000005</v>
      </c>
    </row>
    <row r="71" spans="1:9" x14ac:dyDescent="0.3">
      <c r="A71" s="1" t="s">
        <v>216</v>
      </c>
      <c r="B71" s="1" t="s">
        <v>217</v>
      </c>
      <c r="C71" s="1" t="s">
        <v>4</v>
      </c>
      <c r="D71" s="1" t="s">
        <v>218</v>
      </c>
      <c r="E71" s="1">
        <v>415</v>
      </c>
      <c r="F71" s="1">
        <v>500</v>
      </c>
      <c r="G71" s="1">
        <v>21000</v>
      </c>
      <c r="H71" s="14">
        <f t="shared" si="2"/>
        <v>0.83</v>
      </c>
      <c r="I71" s="14">
        <f t="shared" si="3"/>
        <v>0.17000000000000004</v>
      </c>
    </row>
    <row r="72" spans="1:9" x14ac:dyDescent="0.3">
      <c r="A72" s="1" t="s">
        <v>219</v>
      </c>
      <c r="B72" s="1" t="s">
        <v>220</v>
      </c>
      <c r="C72" s="1" t="s">
        <v>3</v>
      </c>
      <c r="D72" s="1" t="s">
        <v>221</v>
      </c>
      <c r="E72" s="1">
        <v>314</v>
      </c>
      <c r="F72" s="1">
        <v>500</v>
      </c>
      <c r="G72" s="1">
        <v>16000</v>
      </c>
      <c r="H72" s="14">
        <f t="shared" si="2"/>
        <v>0.628</v>
      </c>
      <c r="I72" s="14">
        <f t="shared" si="3"/>
        <v>0.372</v>
      </c>
    </row>
    <row r="73" spans="1:9" x14ac:dyDescent="0.3">
      <c r="A73" s="1" t="s">
        <v>222</v>
      </c>
      <c r="B73" s="1" t="s">
        <v>223</v>
      </c>
      <c r="C73" s="1" t="s">
        <v>2</v>
      </c>
      <c r="D73" s="1" t="s">
        <v>224</v>
      </c>
      <c r="E73" s="1">
        <v>351</v>
      </c>
      <c r="F73" s="1">
        <v>500</v>
      </c>
      <c r="G73" s="1">
        <v>7000</v>
      </c>
      <c r="H73" s="14">
        <f t="shared" si="2"/>
        <v>0.70200000000000007</v>
      </c>
      <c r="I73" s="14">
        <f t="shared" si="3"/>
        <v>0.29799999999999993</v>
      </c>
    </row>
    <row r="74" spans="1:9" x14ac:dyDescent="0.3">
      <c r="A74" s="1" t="s">
        <v>225</v>
      </c>
      <c r="B74" s="1" t="s">
        <v>226</v>
      </c>
      <c r="C74" s="1" t="s">
        <v>1</v>
      </c>
      <c r="D74" s="1" t="s">
        <v>227</v>
      </c>
      <c r="E74" s="1">
        <v>314</v>
      </c>
      <c r="F74" s="1">
        <v>500</v>
      </c>
      <c r="G74" s="1">
        <v>19000</v>
      </c>
      <c r="H74" s="14">
        <f t="shared" si="2"/>
        <v>0.628</v>
      </c>
      <c r="I74" s="14">
        <f t="shared" si="3"/>
        <v>0.372</v>
      </c>
    </row>
    <row r="75" spans="1:9" x14ac:dyDescent="0.3">
      <c r="A75" s="1" t="s">
        <v>228</v>
      </c>
      <c r="B75" s="1" t="s">
        <v>229</v>
      </c>
      <c r="C75" s="1" t="s">
        <v>4</v>
      </c>
      <c r="D75" s="1" t="s">
        <v>230</v>
      </c>
      <c r="E75" s="1">
        <v>342</v>
      </c>
      <c r="F75" s="1">
        <v>500</v>
      </c>
      <c r="G75" s="1">
        <v>24000</v>
      </c>
      <c r="H75" s="14">
        <f t="shared" si="2"/>
        <v>0.68400000000000005</v>
      </c>
      <c r="I75" s="14">
        <f t="shared" si="3"/>
        <v>0.31599999999999995</v>
      </c>
    </row>
    <row r="76" spans="1:9" x14ac:dyDescent="0.3">
      <c r="A76" s="1" t="s">
        <v>231</v>
      </c>
      <c r="B76" s="1" t="s">
        <v>232</v>
      </c>
      <c r="C76" s="1" t="s">
        <v>3</v>
      </c>
      <c r="D76" s="1" t="s">
        <v>233</v>
      </c>
      <c r="E76" s="1">
        <v>408</v>
      </c>
      <c r="F76" s="1">
        <v>500</v>
      </c>
      <c r="G76" s="1">
        <v>11000</v>
      </c>
      <c r="H76" s="14">
        <f t="shared" si="2"/>
        <v>0.81599999999999995</v>
      </c>
      <c r="I76" s="14">
        <f t="shared" si="3"/>
        <v>0.18400000000000005</v>
      </c>
    </row>
    <row r="77" spans="1:9" x14ac:dyDescent="0.3">
      <c r="A77" s="1" t="s">
        <v>234</v>
      </c>
      <c r="B77" s="1" t="s">
        <v>235</v>
      </c>
      <c r="C77" s="1" t="s">
        <v>2</v>
      </c>
      <c r="D77" s="1" t="s">
        <v>236</v>
      </c>
      <c r="E77" s="1">
        <v>409</v>
      </c>
      <c r="F77" s="1">
        <v>500</v>
      </c>
      <c r="G77" s="1">
        <v>88000</v>
      </c>
      <c r="H77" s="14">
        <f t="shared" si="2"/>
        <v>0.81799999999999995</v>
      </c>
      <c r="I77" s="14">
        <f t="shared" si="3"/>
        <v>0.18200000000000005</v>
      </c>
    </row>
    <row r="78" spans="1:9" x14ac:dyDescent="0.3">
      <c r="A78" s="1" t="s">
        <v>237</v>
      </c>
      <c r="B78" s="1" t="s">
        <v>238</v>
      </c>
      <c r="C78" s="1" t="s">
        <v>1</v>
      </c>
      <c r="D78" s="1" t="s">
        <v>72</v>
      </c>
      <c r="E78" s="1">
        <v>342</v>
      </c>
      <c r="F78" s="1">
        <v>500</v>
      </c>
      <c r="G78" s="1">
        <v>16000</v>
      </c>
      <c r="H78" s="14">
        <f t="shared" si="2"/>
        <v>0.68400000000000005</v>
      </c>
      <c r="I78" s="14">
        <f t="shared" si="3"/>
        <v>0.31599999999999995</v>
      </c>
    </row>
    <row r="79" spans="1:9" x14ac:dyDescent="0.3">
      <c r="A79" s="1" t="s">
        <v>239</v>
      </c>
      <c r="B79" s="1" t="s">
        <v>240</v>
      </c>
      <c r="C79" s="1" t="s">
        <v>4</v>
      </c>
      <c r="D79" s="1" t="s">
        <v>30</v>
      </c>
      <c r="E79" s="1">
        <v>404</v>
      </c>
      <c r="F79" s="1">
        <v>500</v>
      </c>
      <c r="G79" s="1">
        <v>18000</v>
      </c>
      <c r="H79" s="14">
        <f t="shared" si="2"/>
        <v>0.80799999999999994</v>
      </c>
      <c r="I79" s="14">
        <f t="shared" si="3"/>
        <v>0.19200000000000006</v>
      </c>
    </row>
    <row r="80" spans="1:9" x14ac:dyDescent="0.3">
      <c r="A80" s="1" t="s">
        <v>241</v>
      </c>
      <c r="B80" s="1" t="s">
        <v>242</v>
      </c>
      <c r="C80" s="1" t="s">
        <v>3</v>
      </c>
      <c r="D80" s="1" t="s">
        <v>243</v>
      </c>
      <c r="E80" s="1">
        <v>379</v>
      </c>
      <c r="F80" s="1">
        <v>500</v>
      </c>
      <c r="G80" s="1">
        <v>13000</v>
      </c>
      <c r="H80" s="14">
        <f t="shared" si="2"/>
        <v>0.75800000000000001</v>
      </c>
      <c r="I80" s="14">
        <f t="shared" si="3"/>
        <v>0.24199999999999999</v>
      </c>
    </row>
    <row r="81" spans="1:9" x14ac:dyDescent="0.3">
      <c r="A81" s="1" t="s">
        <v>244</v>
      </c>
      <c r="B81" s="1" t="s">
        <v>245</v>
      </c>
      <c r="C81" s="1" t="s">
        <v>2</v>
      </c>
      <c r="D81" s="1" t="s">
        <v>246</v>
      </c>
      <c r="E81" s="1">
        <v>371</v>
      </c>
      <c r="F81" s="1">
        <v>500</v>
      </c>
      <c r="G81" s="1">
        <v>68000</v>
      </c>
      <c r="H81" s="14">
        <f t="shared" si="2"/>
        <v>0.74199999999999999</v>
      </c>
      <c r="I81" s="14">
        <f t="shared" si="3"/>
        <v>0.25800000000000001</v>
      </c>
    </row>
    <row r="82" spans="1:9" x14ac:dyDescent="0.3">
      <c r="A82" s="1" t="s">
        <v>247</v>
      </c>
      <c r="B82" s="1" t="s">
        <v>248</v>
      </c>
      <c r="C82" s="1" t="s">
        <v>1</v>
      </c>
      <c r="D82" s="1" t="s">
        <v>60</v>
      </c>
      <c r="E82" s="1">
        <v>328</v>
      </c>
      <c r="F82" s="1">
        <v>500</v>
      </c>
      <c r="G82" s="1">
        <v>31000</v>
      </c>
      <c r="H82" s="14">
        <f t="shared" si="2"/>
        <v>0.65599999999999992</v>
      </c>
      <c r="I82" s="14">
        <f t="shared" si="3"/>
        <v>0.34400000000000008</v>
      </c>
    </row>
    <row r="83" spans="1:9" x14ac:dyDescent="0.3">
      <c r="A83" s="1" t="s">
        <v>249</v>
      </c>
      <c r="B83" s="1" t="s">
        <v>250</v>
      </c>
      <c r="C83" s="1" t="s">
        <v>4</v>
      </c>
      <c r="D83" s="1" t="s">
        <v>18</v>
      </c>
      <c r="E83" s="1">
        <v>323</v>
      </c>
      <c r="F83" s="1">
        <v>500</v>
      </c>
      <c r="G83" s="1">
        <v>20000</v>
      </c>
      <c r="H83" s="14">
        <f t="shared" si="2"/>
        <v>0.64599999999999991</v>
      </c>
      <c r="I83" s="14">
        <f t="shared" si="3"/>
        <v>0.35400000000000009</v>
      </c>
    </row>
    <row r="84" spans="1:9" x14ac:dyDescent="0.3">
      <c r="A84" s="1" t="s">
        <v>251</v>
      </c>
      <c r="B84" s="1" t="s">
        <v>252</v>
      </c>
      <c r="C84" s="1" t="s">
        <v>3</v>
      </c>
      <c r="D84" s="1" t="s">
        <v>253</v>
      </c>
      <c r="E84" s="1">
        <v>327</v>
      </c>
      <c r="F84" s="1">
        <v>500</v>
      </c>
      <c r="G84" s="1">
        <v>14000</v>
      </c>
      <c r="H84" s="14">
        <f t="shared" si="2"/>
        <v>0.65400000000000003</v>
      </c>
      <c r="I84" s="14">
        <f t="shared" si="3"/>
        <v>0.34599999999999997</v>
      </c>
    </row>
    <row r="85" spans="1:9" x14ac:dyDescent="0.3">
      <c r="A85" s="1" t="s">
        <v>254</v>
      </c>
      <c r="B85" s="1" t="s">
        <v>255</v>
      </c>
      <c r="C85" s="1" t="s">
        <v>2</v>
      </c>
      <c r="D85" s="1" t="s">
        <v>12</v>
      </c>
      <c r="E85" s="1">
        <v>359</v>
      </c>
      <c r="F85" s="1">
        <v>500</v>
      </c>
      <c r="G85" s="1">
        <v>145000</v>
      </c>
      <c r="H85" s="14">
        <f t="shared" si="2"/>
        <v>0.71799999999999997</v>
      </c>
      <c r="I85" s="14">
        <f t="shared" si="3"/>
        <v>0.28200000000000003</v>
      </c>
    </row>
    <row r="86" spans="1:9" x14ac:dyDescent="0.3">
      <c r="A86" s="1" t="s">
        <v>256</v>
      </c>
      <c r="B86" s="1" t="s">
        <v>257</v>
      </c>
      <c r="C86" s="1" t="s">
        <v>1</v>
      </c>
      <c r="D86" s="1" t="s">
        <v>96</v>
      </c>
      <c r="E86" s="1">
        <v>314</v>
      </c>
      <c r="F86" s="1">
        <v>500</v>
      </c>
      <c r="G86" s="1">
        <v>12000</v>
      </c>
      <c r="H86" s="14">
        <f t="shared" si="2"/>
        <v>0.628</v>
      </c>
      <c r="I86" s="14">
        <f t="shared" si="3"/>
        <v>0.372</v>
      </c>
    </row>
    <row r="87" spans="1:9" x14ac:dyDescent="0.3">
      <c r="A87" s="1" t="s">
        <v>258</v>
      </c>
      <c r="B87" s="1" t="s">
        <v>259</v>
      </c>
      <c r="C87" s="1" t="s">
        <v>4</v>
      </c>
      <c r="D87" s="1" t="s">
        <v>135</v>
      </c>
      <c r="E87" s="1">
        <v>358</v>
      </c>
      <c r="F87" s="1">
        <v>500</v>
      </c>
      <c r="G87" s="1">
        <v>23000</v>
      </c>
      <c r="H87" s="14">
        <f t="shared" si="2"/>
        <v>0.71599999999999997</v>
      </c>
      <c r="I87" s="14">
        <f t="shared" si="3"/>
        <v>0.28400000000000003</v>
      </c>
    </row>
    <row r="88" spans="1:9" x14ac:dyDescent="0.3">
      <c r="A88" s="1" t="s">
        <v>260</v>
      </c>
      <c r="B88" s="1" t="s">
        <v>261</v>
      </c>
      <c r="C88" s="1" t="s">
        <v>3</v>
      </c>
      <c r="D88" s="1" t="s">
        <v>262</v>
      </c>
      <c r="E88" s="1">
        <v>356</v>
      </c>
      <c r="F88" s="1">
        <v>500</v>
      </c>
      <c r="G88" s="1">
        <v>10000</v>
      </c>
      <c r="H88" s="14">
        <f t="shared" si="2"/>
        <v>0.71200000000000008</v>
      </c>
      <c r="I88" s="14">
        <f t="shared" si="3"/>
        <v>0.28799999999999992</v>
      </c>
    </row>
    <row r="89" spans="1:9" x14ac:dyDescent="0.3">
      <c r="A89" s="1" t="s">
        <v>263</v>
      </c>
      <c r="B89" s="1" t="s">
        <v>264</v>
      </c>
      <c r="C89" s="1" t="s">
        <v>2</v>
      </c>
      <c r="D89" s="1" t="s">
        <v>265</v>
      </c>
      <c r="E89" s="1">
        <v>366</v>
      </c>
      <c r="F89" s="1">
        <v>500</v>
      </c>
      <c r="G89" s="1">
        <v>25000</v>
      </c>
      <c r="H89" s="14">
        <f t="shared" si="2"/>
        <v>0.73199999999999998</v>
      </c>
      <c r="I89" s="14">
        <f t="shared" si="3"/>
        <v>0.26800000000000002</v>
      </c>
    </row>
    <row r="90" spans="1:9" x14ac:dyDescent="0.3">
      <c r="A90" s="1" t="s">
        <v>266</v>
      </c>
      <c r="B90" s="1" t="s">
        <v>267</v>
      </c>
      <c r="C90" s="1" t="s">
        <v>1</v>
      </c>
      <c r="D90" s="1" t="s">
        <v>156</v>
      </c>
      <c r="E90" s="1">
        <v>332</v>
      </c>
      <c r="F90" s="1">
        <v>500</v>
      </c>
      <c r="G90" s="1">
        <v>9000</v>
      </c>
      <c r="H90" s="14">
        <f t="shared" si="2"/>
        <v>0.66400000000000003</v>
      </c>
      <c r="I90" s="14">
        <f t="shared" si="3"/>
        <v>0.33599999999999997</v>
      </c>
    </row>
    <row r="91" spans="1:9" x14ac:dyDescent="0.3">
      <c r="A91" s="1" t="s">
        <v>268</v>
      </c>
      <c r="B91" s="1" t="s">
        <v>269</v>
      </c>
      <c r="C91" s="1" t="s">
        <v>4</v>
      </c>
      <c r="D91" s="1" t="s">
        <v>147</v>
      </c>
      <c r="E91" s="1">
        <v>352</v>
      </c>
      <c r="F91" s="1">
        <v>500</v>
      </c>
      <c r="G91" s="1">
        <v>55000</v>
      </c>
      <c r="H91" s="14">
        <f t="shared" si="2"/>
        <v>0.70400000000000007</v>
      </c>
      <c r="I91" s="14">
        <f t="shared" si="3"/>
        <v>0.29599999999999993</v>
      </c>
    </row>
    <row r="92" spans="1:9" x14ac:dyDescent="0.3">
      <c r="A92" s="1" t="s">
        <v>270</v>
      </c>
      <c r="B92" s="1" t="s">
        <v>271</v>
      </c>
      <c r="C92" s="1" t="s">
        <v>3</v>
      </c>
      <c r="D92" s="1" t="s">
        <v>272</v>
      </c>
      <c r="E92" s="1">
        <v>377</v>
      </c>
      <c r="F92" s="1">
        <v>500</v>
      </c>
      <c r="G92" s="1">
        <v>6000</v>
      </c>
      <c r="H92" s="14">
        <f t="shared" si="2"/>
        <v>0.754</v>
      </c>
      <c r="I92" s="14">
        <f t="shared" si="3"/>
        <v>0.246</v>
      </c>
    </row>
    <row r="93" spans="1:9" x14ac:dyDescent="0.3">
      <c r="A93" s="1" t="s">
        <v>273</v>
      </c>
      <c r="B93" s="1" t="s">
        <v>274</v>
      </c>
      <c r="C93" s="1" t="s">
        <v>2</v>
      </c>
      <c r="D93" s="1" t="s">
        <v>81</v>
      </c>
      <c r="E93" s="1">
        <v>325</v>
      </c>
      <c r="F93" s="1">
        <v>500</v>
      </c>
      <c r="G93" s="1">
        <v>8000</v>
      </c>
      <c r="H93" s="14">
        <f t="shared" si="2"/>
        <v>0.65</v>
      </c>
      <c r="I93" s="14">
        <f t="shared" si="3"/>
        <v>0.35</v>
      </c>
    </row>
    <row r="94" spans="1:9" x14ac:dyDescent="0.3">
      <c r="A94" s="1" t="s">
        <v>275</v>
      </c>
      <c r="B94" s="1" t="s">
        <v>276</v>
      </c>
      <c r="C94" s="1" t="s">
        <v>1</v>
      </c>
      <c r="D94" s="1" t="s">
        <v>15</v>
      </c>
      <c r="E94" s="1">
        <v>411</v>
      </c>
      <c r="F94" s="1">
        <v>500</v>
      </c>
      <c r="G94" s="1">
        <v>26000</v>
      </c>
      <c r="H94" s="14">
        <f t="shared" si="2"/>
        <v>0.82200000000000006</v>
      </c>
      <c r="I94" s="14">
        <f t="shared" si="3"/>
        <v>0.17799999999999994</v>
      </c>
    </row>
    <row r="95" spans="1:9" x14ac:dyDescent="0.3">
      <c r="A95" s="1" t="s">
        <v>277</v>
      </c>
      <c r="B95" s="1" t="s">
        <v>278</v>
      </c>
      <c r="C95" s="1" t="s">
        <v>4</v>
      </c>
      <c r="D95" s="1" t="s">
        <v>279</v>
      </c>
      <c r="E95" s="1">
        <v>346</v>
      </c>
      <c r="F95" s="1">
        <v>500</v>
      </c>
      <c r="G95" s="1">
        <v>50000</v>
      </c>
      <c r="H95" s="14">
        <f t="shared" si="2"/>
        <v>0.69200000000000006</v>
      </c>
      <c r="I95" s="14">
        <f t="shared" si="3"/>
        <v>0.30799999999999994</v>
      </c>
    </row>
    <row r="96" spans="1:9" x14ac:dyDescent="0.3">
      <c r="A96" s="1" t="s">
        <v>280</v>
      </c>
      <c r="B96" s="1" t="s">
        <v>281</v>
      </c>
      <c r="C96" s="1" t="s">
        <v>3</v>
      </c>
      <c r="D96" s="1" t="s">
        <v>282</v>
      </c>
      <c r="E96" s="1">
        <v>330</v>
      </c>
      <c r="F96" s="1">
        <v>500</v>
      </c>
      <c r="G96" s="1">
        <v>14000</v>
      </c>
      <c r="H96" s="14">
        <f t="shared" si="2"/>
        <v>0.66</v>
      </c>
      <c r="I96" s="14">
        <f t="shared" si="3"/>
        <v>0.33999999999999997</v>
      </c>
    </row>
    <row r="97" spans="1:9" x14ac:dyDescent="0.3">
      <c r="A97" s="1" t="s">
        <v>283</v>
      </c>
      <c r="B97" s="1" t="s">
        <v>284</v>
      </c>
      <c r="C97" s="1" t="s">
        <v>2</v>
      </c>
      <c r="D97" s="1" t="s">
        <v>69</v>
      </c>
      <c r="E97" s="1">
        <v>365</v>
      </c>
      <c r="F97" s="1">
        <v>500</v>
      </c>
      <c r="G97" s="1">
        <v>62000</v>
      </c>
      <c r="H97" s="14">
        <f t="shared" si="2"/>
        <v>0.73</v>
      </c>
      <c r="I97" s="14">
        <f t="shared" si="3"/>
        <v>0.27</v>
      </c>
    </row>
    <row r="98" spans="1:9" x14ac:dyDescent="0.3">
      <c r="A98" s="1" t="s">
        <v>285</v>
      </c>
      <c r="B98" s="1" t="s">
        <v>286</v>
      </c>
      <c r="C98" s="1" t="s">
        <v>1</v>
      </c>
      <c r="D98" s="1" t="s">
        <v>27</v>
      </c>
      <c r="E98" s="1">
        <v>404</v>
      </c>
      <c r="F98" s="1">
        <v>500</v>
      </c>
      <c r="G98" s="1">
        <v>19000</v>
      </c>
      <c r="H98" s="14">
        <f t="shared" si="2"/>
        <v>0.80799999999999994</v>
      </c>
      <c r="I98" s="14">
        <f t="shared" si="3"/>
        <v>0.19200000000000006</v>
      </c>
    </row>
    <row r="99" spans="1:9" x14ac:dyDescent="0.3">
      <c r="A99" s="1" t="s">
        <v>287</v>
      </c>
      <c r="B99" s="1" t="s">
        <v>288</v>
      </c>
      <c r="C99" s="1" t="s">
        <v>4</v>
      </c>
      <c r="D99" s="1" t="s">
        <v>63</v>
      </c>
      <c r="E99" s="1">
        <v>380</v>
      </c>
      <c r="F99" s="1">
        <v>500</v>
      </c>
      <c r="G99" s="1">
        <v>57000</v>
      </c>
      <c r="H99" s="14">
        <f t="shared" si="2"/>
        <v>0.76</v>
      </c>
      <c r="I99" s="14">
        <f t="shared" si="3"/>
        <v>0.24</v>
      </c>
    </row>
    <row r="100" spans="1:9" x14ac:dyDescent="0.3">
      <c r="A100" s="1" t="s">
        <v>289</v>
      </c>
      <c r="B100" s="1" t="s">
        <v>290</v>
      </c>
      <c r="C100" s="1" t="s">
        <v>3</v>
      </c>
      <c r="D100" s="1" t="s">
        <v>54</v>
      </c>
      <c r="E100" s="1">
        <v>343</v>
      </c>
      <c r="F100" s="1">
        <v>500</v>
      </c>
      <c r="G100" s="1">
        <v>17000</v>
      </c>
      <c r="H100" s="14">
        <f t="shared" si="2"/>
        <v>0.68599999999999994</v>
      </c>
      <c r="I100" s="14">
        <f t="shared" si="3"/>
        <v>0.31400000000000006</v>
      </c>
    </row>
    <row r="101" spans="1:9" x14ac:dyDescent="0.3">
      <c r="A101" s="1" t="s">
        <v>291</v>
      </c>
      <c r="B101" s="1" t="s">
        <v>292</v>
      </c>
      <c r="C101" s="1" t="s">
        <v>2</v>
      </c>
      <c r="D101" s="1" t="s">
        <v>48</v>
      </c>
      <c r="E101" s="1">
        <v>340</v>
      </c>
      <c r="F101" s="1">
        <v>500</v>
      </c>
      <c r="G101" s="1">
        <v>52000</v>
      </c>
      <c r="H101" s="14">
        <f t="shared" si="2"/>
        <v>0.68</v>
      </c>
      <c r="I101" s="14">
        <f t="shared" si="3"/>
        <v>0.31999999999999995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Jha Asit Ankur Sarojkumar</dc:creator>
  <cp:lastModifiedBy>Jha Asit Ankur Sarojkumar</cp:lastModifiedBy>
  <dcterms:created xsi:type="dcterms:W3CDTF">2025-11-07T07:50:27Z</dcterms:created>
  <dcterms:modified xsi:type="dcterms:W3CDTF">2025-11-08T13:33:22Z</dcterms:modified>
</cp:coreProperties>
</file>